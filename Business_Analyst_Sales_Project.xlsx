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tchan\Downloads\"/>
    </mc:Choice>
  </mc:AlternateContent>
  <xr:revisionPtr revIDLastSave="0" documentId="13_ncr:1_{6B129592-CFDB-40DE-8332-92DE484C2FFA}" xr6:coauthVersionLast="47" xr6:coauthVersionMax="47" xr10:uidLastSave="{00000000-0000-0000-0000-000000000000}"/>
  <bookViews>
    <workbookView xWindow="-110" yWindow="-110" windowWidth="19420" windowHeight="11500" xr2:uid="{00000000-000D-0000-FFFF-FFFF00000000}"/>
  </bookViews>
  <sheets>
    <sheet name="product wise sales" sheetId="7" r:id="rId1"/>
    <sheet name="customer wise sales" sheetId="8" r:id="rId2"/>
    <sheet name="region wise sales" sheetId="10" r:id="rId3"/>
    <sheet name="category wise profit margin" sheetId="18" r:id="rId4"/>
    <sheet name="region wise sales,profit" sheetId="19" r:id="rId5"/>
    <sheet name="channel wise profit,sales,order" sheetId="20" r:id="rId6"/>
    <sheet name="count of orders using pivot" sheetId="22" r:id="rId7"/>
    <sheet name="month wise sales and profit" sheetId="23" r:id="rId8"/>
    <sheet name="category wise sales" sheetId="24" r:id="rId9"/>
    <sheet name="channel wise sales" sheetId="25" r:id="rId10"/>
    <sheet name="sum of profit margin%" sheetId="26" r:id="rId11"/>
    <sheet name="Raw_Data" sheetId="1" r:id="rId12"/>
    <sheet name="Customer_Master" sheetId="3" r:id="rId13"/>
    <sheet name="Product_Master" sheetId="4" r:id="rId14"/>
    <sheet name="Sales dashboard" sheetId="21" r:id="rId15"/>
  </sheets>
  <definedNames>
    <definedName name="_xlnm._FilterDatabase" localSheetId="12" hidden="1">Customer_Master!$A$1:$E$21</definedName>
    <definedName name="_xlnm._FilterDatabase" localSheetId="13" hidden="1">Product_Master!$A$1:$E$11</definedName>
    <definedName name="_xlnm._FilterDatabase" localSheetId="11" hidden="1">Raw_Data!$X$1:$X$311</definedName>
    <definedName name="Slicer_Category">#N/A</definedName>
    <definedName name="Slicer_Order_Status">#N/A</definedName>
    <definedName name="Slicer_Region">#N/A</definedName>
    <definedName name="Slicer_Sales_Channel">#N/A</definedName>
  </definedNames>
  <calcPr calcId="191029"/>
  <pivotCaches>
    <pivotCache cacheId="20" r:id="rId16"/>
    <pivotCache cacheId="38" r:id="rId1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4:slicerCache r:id="rId19"/>
        <x14:slicerCache r:id="rId20"/>
        <x14:slicerCache r:id="rId2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4" i="1" l="1"/>
  <c r="T2" i="1"/>
  <c r="B5" i="21" l="1"/>
  <c r="B6" i="21"/>
  <c r="B7" i="21"/>
  <c r="T10" i="1"/>
  <c r="T3" i="1"/>
  <c r="T4" i="1"/>
  <c r="T5" i="1"/>
  <c r="T6" i="1"/>
  <c r="T7" i="1"/>
  <c r="T8" i="1"/>
  <c r="T9"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Q308" i="1"/>
  <c r="V307" i="1" a="1"/>
  <c r="V307" i="1" s="1"/>
  <c r="M309" i="1"/>
  <c r="B8" i="2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578960-CCE5-407F-8A3C-88AF749867E7}"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<sst xmlns="http://schemas.openxmlformats.org/spreadsheetml/2006/main" count="4479" uniqueCount="466">
  <si>
    <t>Order_ID</t>
  </si>
  <si>
    <t>Order_Date</t>
  </si>
  <si>
    <t>Customer_ID</t>
  </si>
  <si>
    <t>Customer_Name</t>
  </si>
  <si>
    <t>City</t>
  </si>
  <si>
    <t>Region</t>
  </si>
  <si>
    <t>Customer_Segment</t>
  </si>
  <si>
    <t>Product_ID</t>
  </si>
  <si>
    <t>Product_Name</t>
  </si>
  <si>
    <t>Category</t>
  </si>
  <si>
    <t>Subcategory</t>
  </si>
  <si>
    <t>Quantity</t>
  </si>
  <si>
    <t>Unit_Price</t>
  </si>
  <si>
    <t>Discount_%</t>
  </si>
  <si>
    <t>Gross_Sales</t>
  </si>
  <si>
    <t>Discount_Amount</t>
  </si>
  <si>
    <t>Net_Sales</t>
  </si>
  <si>
    <t>Cost</t>
  </si>
  <si>
    <t>Profit</t>
  </si>
  <si>
    <t>Sales_Channel</t>
  </si>
  <si>
    <t>Sales_Rep</t>
  </si>
  <si>
    <t>Payment_Method</t>
  </si>
  <si>
    <t>Order_Status</t>
  </si>
  <si>
    <t>SO10002</t>
  </si>
  <si>
    <t>C004</t>
  </si>
  <si>
    <t>Sneha Reddy</t>
  </si>
  <si>
    <t>Hyderabad</t>
  </si>
  <si>
    <t>South</t>
  </si>
  <si>
    <t>SMB</t>
  </si>
  <si>
    <t>P001</t>
  </si>
  <si>
    <t>Laptop Pro 14</t>
  </si>
  <si>
    <t>Electronics</t>
  </si>
  <si>
    <t>Premium Laptop</t>
  </si>
  <si>
    <t>Partner</t>
  </si>
  <si>
    <t>Sanjay</t>
  </si>
  <si>
    <t>Credit Card</t>
  </si>
  <si>
    <t>Completed</t>
  </si>
  <si>
    <t>SO10003</t>
  </si>
  <si>
    <t>C019</t>
  </si>
  <si>
    <t>Sahil Khan</t>
  </si>
  <si>
    <t>Indore</t>
  </si>
  <si>
    <t>Central</t>
  </si>
  <si>
    <t>Mid-Market</t>
  </si>
  <si>
    <t>P007</t>
  </si>
  <si>
    <t>Docking Station</t>
  </si>
  <si>
    <t>Accessories</t>
  </si>
  <si>
    <t>Dock</t>
  </si>
  <si>
    <t>Ravi</t>
  </si>
  <si>
    <t>UPI</t>
  </si>
  <si>
    <t>Returned</t>
  </si>
  <si>
    <t>SO10004</t>
  </si>
  <si>
    <t>C018</t>
  </si>
  <si>
    <t>Kavya Menon</t>
  </si>
  <si>
    <t>Thiruvananthapuram</t>
  </si>
  <si>
    <t>Online</t>
  </si>
  <si>
    <t>Net Banking</t>
  </si>
  <si>
    <t>SO10005</t>
  </si>
  <si>
    <t>C011</t>
  </si>
  <si>
    <t>Rohan Gupta</t>
  </si>
  <si>
    <t>Lucknow</t>
  </si>
  <si>
    <t>North</t>
  </si>
  <si>
    <t>P005</t>
  </si>
  <si>
    <t>Wireless Mouse</t>
  </si>
  <si>
    <t>Mouse</t>
  </si>
  <si>
    <t>Amit</t>
  </si>
  <si>
    <t>Bank Transfer</t>
  </si>
  <si>
    <t>SO10006</t>
  </si>
  <si>
    <t>C020</t>
  </si>
  <si>
    <t>Tanya Kapoor</t>
  </si>
  <si>
    <t>Nagpur</t>
  </si>
  <si>
    <t>Kavita</t>
  </si>
  <si>
    <t>SO10007</t>
  </si>
  <si>
    <t>P006</t>
  </si>
  <si>
    <t>Office Headset</t>
  </si>
  <si>
    <t>Headset</t>
  </si>
  <si>
    <t>Cancelled</t>
  </si>
  <si>
    <t>SO10008</t>
  </si>
  <si>
    <t>C008</t>
  </si>
  <si>
    <t>Neha Verma</t>
  </si>
  <si>
    <t>Jaipur</t>
  </si>
  <si>
    <t>P002</t>
  </si>
  <si>
    <t>Laptop Air 13</t>
  </si>
  <si>
    <t>Standard Laptop</t>
  </si>
  <si>
    <t>SO10009</t>
  </si>
  <si>
    <t>C007</t>
  </si>
  <si>
    <t>Karan Mehta</t>
  </si>
  <si>
    <t>Pune</t>
  </si>
  <si>
    <t>West</t>
  </si>
  <si>
    <t>Sneha</t>
  </si>
  <si>
    <t>SO10010</t>
  </si>
  <si>
    <t>C015</t>
  </si>
  <si>
    <t>Manish Yadav</t>
  </si>
  <si>
    <t>Gurugram</t>
  </si>
  <si>
    <t>SO10011</t>
  </si>
  <si>
    <t>C013</t>
  </si>
  <si>
    <t>Aditya Jain</t>
  </si>
  <si>
    <t>Noida</t>
  </si>
  <si>
    <t>Enterprise</t>
  </si>
  <si>
    <t>SO10012</t>
  </si>
  <si>
    <t>P008</t>
  </si>
  <si>
    <t>Office Chair</t>
  </si>
  <si>
    <t>Furniture</t>
  </si>
  <si>
    <t>Chair</t>
  </si>
  <si>
    <t>SO10013</t>
  </si>
  <si>
    <t>SO10014</t>
  </si>
  <si>
    <t>C006</t>
  </si>
  <si>
    <t>Ananya Das</t>
  </si>
  <si>
    <t>Kolkata</t>
  </si>
  <si>
    <t>East</t>
  </si>
  <si>
    <t>SO10015</t>
  </si>
  <si>
    <t>P009</t>
  </si>
  <si>
    <t>Standing Desk</t>
  </si>
  <si>
    <t>Desk</t>
  </si>
  <si>
    <t>Retail</t>
  </si>
  <si>
    <t>SO10016</t>
  </si>
  <si>
    <t>C017</t>
  </si>
  <si>
    <t>Nikhil Bansal</t>
  </si>
  <si>
    <t>Chandigarh</t>
  </si>
  <si>
    <t>P003</t>
  </si>
  <si>
    <t>Business Monitor 24</t>
  </si>
  <si>
    <t>Monitor</t>
  </si>
  <si>
    <t>SO10017</t>
  </si>
  <si>
    <t>C005</t>
  </si>
  <si>
    <t>Vikram Patel</t>
  </si>
  <si>
    <t>Ahmedabad</t>
  </si>
  <si>
    <t>SO10018</t>
  </si>
  <si>
    <t>SO10019</t>
  </si>
  <si>
    <t>C016</t>
  </si>
  <si>
    <t>Divya Iyer</t>
  </si>
  <si>
    <t>Coimbatore</t>
  </si>
  <si>
    <t>SO10020</t>
  </si>
  <si>
    <t>C010</t>
  </si>
  <si>
    <t>Meera Nair</t>
  </si>
  <si>
    <t>Kochi</t>
  </si>
  <si>
    <t>SO10021</t>
  </si>
  <si>
    <t>C003</t>
  </si>
  <si>
    <t>Rahul Kumar</t>
  </si>
  <si>
    <t>Bengaluru</t>
  </si>
  <si>
    <t>SO10022</t>
  </si>
  <si>
    <t>Neeraj</t>
  </si>
  <si>
    <t>SO10023</t>
  </si>
  <si>
    <t>SO10024</t>
  </si>
  <si>
    <t>C014</t>
  </si>
  <si>
    <t>Pooja Shah</t>
  </si>
  <si>
    <t>Surat</t>
  </si>
  <si>
    <t>SO10025</t>
  </si>
  <si>
    <t>C002</t>
  </si>
  <si>
    <t>Priya Singh</t>
  </si>
  <si>
    <t>Mumbai</t>
  </si>
  <si>
    <t>SO10026</t>
  </si>
  <si>
    <t>SO10027</t>
  </si>
  <si>
    <t>P004</t>
  </si>
  <si>
    <t>Wireless Keyboard</t>
  </si>
  <si>
    <t>Keyboard</t>
  </si>
  <si>
    <t>SO10028</t>
  </si>
  <si>
    <t>C001</t>
  </si>
  <si>
    <t>Aarav Sharma</t>
  </si>
  <si>
    <t>Delhi</t>
  </si>
  <si>
    <t>SO10029</t>
  </si>
  <si>
    <t>SO10030</t>
  </si>
  <si>
    <t>SO10031</t>
  </si>
  <si>
    <t>SO10032</t>
  </si>
  <si>
    <t>P010</t>
  </si>
  <si>
    <t>Conference Camera</t>
  </si>
  <si>
    <t>Camera</t>
  </si>
  <si>
    <t>SO10033</t>
  </si>
  <si>
    <t>SO10034</t>
  </si>
  <si>
    <t>SO10035</t>
  </si>
  <si>
    <t>SO10036</t>
  </si>
  <si>
    <t>SO10037</t>
  </si>
  <si>
    <t>C009</t>
  </si>
  <si>
    <t>Arjun Rao</t>
  </si>
  <si>
    <t>Chennai</t>
  </si>
  <si>
    <t>SO10038</t>
  </si>
  <si>
    <t>SO10039</t>
  </si>
  <si>
    <t>SO10040</t>
  </si>
  <si>
    <t>C012</t>
  </si>
  <si>
    <t>Ishita Roy</t>
  </si>
  <si>
    <t>Bhubaneswar</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</si>
  <si>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</si>
  <si>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</si>
  <si>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</si>
  <si>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</si>
  <si>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</si>
  <si>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</si>
  <si>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</si>
  <si>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</si>
  <si>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</si>
  <si>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</si>
  <si>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</si>
  <si>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</si>
  <si>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</si>
  <si>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</si>
  <si>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</si>
  <si>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</si>
  <si>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</si>
  <si>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</si>
  <si>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</si>
  <si>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</si>
  <si>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</si>
  <si>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</si>
  <si>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</si>
  <si>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</si>
  <si>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</si>
  <si>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</si>
  <si>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</si>
  <si>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</si>
  <si>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</si>
  <si>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</si>
  <si>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</si>
  <si>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</si>
  <si>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</si>
  <si>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</si>
  <si>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</si>
  <si>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</si>
  <si>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</si>
  <si>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</si>
  <si>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</si>
  <si>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</si>
  <si>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</si>
  <si>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</si>
  <si>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</si>
  <si>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</si>
  <si>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</si>
  <si>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</si>
  <si>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</si>
  <si>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</si>
  <si>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</si>
  <si>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</si>
  <si>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</si>
  <si>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</si>
  <si>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</si>
  <si>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</si>
  <si>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</si>
  <si>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</si>
  <si>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</si>
  <si>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</si>
  <si>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</si>
  <si>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</si>
  <si>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</si>
  <si>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</si>
  <si>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</si>
  <si>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</si>
  <si>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</si>
  <si>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</si>
  <si>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</si>
  <si>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</si>
  <si>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</si>
  <si>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</si>
  <si>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</si>
  <si>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</si>
  <si>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</si>
  <si>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</si>
  <si>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</si>
  <si>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</si>
  <si>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</si>
  <si>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</si>
  <si>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</si>
  <si>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</si>
  <si>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</si>
  <si>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</si>
  <si>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</si>
  <si>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</si>
  <si>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</si>
  <si>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</si>
  <si>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</si>
  <si>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</si>
  <si>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</si>
  <si>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</si>
  <si>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</si>
  <si>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</si>
  <si>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</si>
  <si>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</si>
  <si>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</si>
  <si>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</si>
  <si>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</si>
  <si>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</si>
  <si>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</si>
  <si>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</si>
  <si>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</si>
  <si>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</si>
  <si>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</si>
  <si>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</si>
  <si>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</si>
  <si>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</si>
  <si>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</si>
  <si>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</si>
  <si>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</si>
  <si>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</si>
  <si>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</si>
  <si>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</si>
  <si>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</si>
  <si>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</si>
  <si>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</si>
  <si>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</si>
  <si>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</si>
  <si>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</si>
  <si>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</si>
  <si>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</si>
  <si>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</si>
  <si>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</si>
  <si>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</si>
  <si>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</si>
  <si>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</si>
  <si>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</si>
  <si>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</si>
  <si>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</si>
  <si>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</si>
  <si>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</si>
  <si>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</si>
  <si>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</si>
  <si>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</si>
  <si>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</si>
  <si>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</si>
  <si>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</si>
  <si>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</si>
  <si>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</si>
  <si>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</si>
  <si>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</si>
  <si>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</si>
  <si>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</si>
  <si>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</si>
  <si>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</si>
  <si>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</si>
  <si>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</si>
  <si>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</si>
  <si>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</si>
  <si>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</si>
  <si>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</si>
  <si>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</si>
  <si>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</si>
  <si>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</si>
  <si>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</si>
  <si>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</si>
  <si>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</si>
  <si>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</si>
  <si>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</si>
  <si>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</si>
  <si>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</si>
  <si>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</si>
  <si>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</si>
  <si>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</si>
  <si>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</si>
  <si>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</si>
  <si>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</si>
  <si>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</si>
  <si>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</si>
  <si>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</si>
  <si>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</si>
  <si>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</si>
  <si>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</si>
  <si>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</si>
  <si>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</si>
  <si>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</si>
  <si>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</si>
  <si>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</si>
  <si>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</si>
  <si>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</si>
  <si>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</si>
  <si>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</si>
  <si>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</si>
  <si>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</si>
  <si>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</si>
  <si>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</si>
  <si>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</si>
  <si>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</si>
  <si>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</si>
  <si>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</si>
  <si>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</si>
  <si>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</si>
  <si>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</si>
  <si>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</si>
  <si>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</si>
  <si>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</si>
  <si>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</si>
  <si>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</si>
  <si>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</si>
  <si>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</si>
  <si>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</si>
  <si>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</si>
  <si>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</si>
  <si>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</si>
  <si>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</si>
  <si>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</si>
  <si>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</si>
  <si>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</si>
  <si>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</si>
  <si>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</si>
  <si>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</si>
  <si>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</si>
  <si>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</si>
  <si>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</si>
  <si>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</si>
  <si>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</si>
  <si>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</si>
  <si>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</si>
  <si>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</si>
  <si>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</si>
  <si>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</si>
  <si>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</si>
  <si>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</si>
  <si>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</si>
  <si>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</si>
  <si>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</si>
  <si>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</si>
  <si>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</si>
  <si>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</si>
  <si>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</si>
  <si>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</si>
  <si>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</si>
  <si>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</si>
  <si>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</si>
  <si>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</si>
  <si>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</si>
  <si>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</si>
  <si>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</si>
  <si>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</si>
  <si>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</si>
  <si>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</si>
  <si>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</si>
  <si>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</si>
  <si>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</si>
  <si>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</si>
  <si>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</si>
  <si>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</si>
  <si>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</si>
  <si>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</si>
  <si>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</si>
  <si>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</si>
  <si>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</si>
  <si>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</si>
  <si>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</si>
  <si>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</si>
  <si>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</si>
  <si>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</si>
  <si>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</si>
  <si>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</si>
  <si>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</si>
  <si>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</si>
  <si>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</si>
  <si>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Row Labels</t>
  </si>
  <si>
    <t>Grand Total</t>
  </si>
  <si>
    <t>Sum of Net_Sales</t>
  </si>
  <si>
    <t>Sum of Profit</t>
  </si>
  <si>
    <t>Jan</t>
  </si>
  <si>
    <t>Feb</t>
  </si>
  <si>
    <t>Mar</t>
  </si>
  <si>
    <t>Apr</t>
  </si>
  <si>
    <t>May</t>
  </si>
  <si>
    <t>Jun</t>
  </si>
  <si>
    <t>Jul</t>
  </si>
  <si>
    <t>Aug</t>
  </si>
  <si>
    <t>Sep</t>
  </si>
  <si>
    <t>Oct</t>
  </si>
  <si>
    <t>Nov</t>
  </si>
  <si>
    <t>Dec</t>
  </si>
  <si>
    <t>Profit Margin %</t>
  </si>
  <si>
    <t>Sum of Profit Margin %</t>
  </si>
  <si>
    <t>Average of Profit Margin %</t>
  </si>
  <si>
    <t>Count of Customer_ID</t>
  </si>
  <si>
    <t>KPI</t>
  </si>
  <si>
    <t>Value</t>
  </si>
  <si>
    <t>Total Net Sales</t>
  </si>
  <si>
    <t>Total Profit</t>
  </si>
  <si>
    <t>Total Orders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</si>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</sst>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sz val="16"/>
      <color theme="1"/>
      <name val="Calibri"/>
      <family val="2"/>
      <scheme val="minor"/>
    </font>
  </fonts>
  <fills count="6">
    <fill>
      <patternFill patternType="none"/>
    </fill>
    <fill>
      <patternFill patternType="gray125"/>
    </fill>
    <fill>
      <patternFill patternType="solid">
        <fgColor rgb="FFD9EAF7"/>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s>
  <cellStyleXfs count="2">
    <xf numFmtId="0" fontId="0" fillId="0" borderId="0"/>
    <xf numFmtId="9" fontId="2" fillId="0" borderId="0" applyFont="0" applyFill="0" applyBorder="0" applyAlignment="0" applyProtection="0"/>
  </cellStyleXfs>
  <cellXfs count="39">
    <xf numFmtId="0" fontId="0" fillId="0" borderId="0" xfId="0"/>
    <xf numFmtId="0" fontId="1" fillId="2" borderId="1" xfId="0" applyFont="1" applyFill="1" applyBorder="1" applyAlignment="1">
      <alignment horizontal="center"/>
    </xf>
    <xf numFmtId="14" fontId="0" fillId="0" borderId="0" xfId="0" applyNumberFormat="1"/>
    <xf numFmtId="0" fontId="0" fillId="0" borderId="0" xfId="0" applyNumberFormat="1"/>
    <xf numFmtId="0" fontId="0" fillId="4" borderId="3" xfId="0" applyFont="1" applyFill="1" applyBorder="1"/>
    <xf numFmtId="0" fontId="0" fillId="0" borderId="0" xfId="0" pivotButton="1"/>
    <xf numFmtId="0" fontId="0" fillId="0" borderId="0" xfId="0" applyAlignment="1">
      <alignment horizontal="left"/>
    </xf>
    <xf numFmtId="9" fontId="0" fillId="0" borderId="0" xfId="1" applyFont="1"/>
    <xf numFmtId="0" fontId="0" fillId="3" borderId="2" xfId="0" applyFont="1" applyFill="1" applyBorder="1"/>
    <xf numFmtId="14" fontId="0" fillId="3" borderId="4" xfId="0" applyNumberFormat="1" applyFont="1" applyFill="1" applyBorder="1"/>
    <xf numFmtId="0" fontId="0" fillId="3" borderId="4" xfId="0" applyFont="1" applyFill="1" applyBorder="1"/>
    <xf numFmtId="0" fontId="0" fillId="3" borderId="4" xfId="0" applyNumberFormat="1" applyFont="1" applyFill="1" applyBorder="1"/>
    <xf numFmtId="9" fontId="0" fillId="3" borderId="4" xfId="1" applyNumberFormat="1" applyFont="1" applyFill="1" applyBorder="1"/>
    <xf numFmtId="0" fontId="0" fillId="4" borderId="5" xfId="0" applyFont="1" applyFill="1" applyBorder="1"/>
    <xf numFmtId="14" fontId="0" fillId="4" borderId="3" xfId="0" applyNumberFormat="1" applyFont="1" applyFill="1" applyBorder="1"/>
    <xf numFmtId="0" fontId="0" fillId="4" borderId="3" xfId="0" applyNumberFormat="1" applyFont="1" applyFill="1" applyBorder="1"/>
    <xf numFmtId="9" fontId="0" fillId="4" borderId="3" xfId="1" applyNumberFormat="1" applyFont="1" applyFill="1" applyBorder="1"/>
    <xf numFmtId="0" fontId="0" fillId="3" borderId="5" xfId="0" applyFont="1" applyFill="1" applyBorder="1"/>
    <xf numFmtId="14" fontId="0" fillId="3" borderId="3" xfId="0" applyNumberFormat="1" applyFont="1" applyFill="1" applyBorder="1"/>
    <xf numFmtId="0" fontId="0" fillId="3" borderId="3" xfId="0" applyFont="1" applyFill="1" applyBorder="1"/>
    <xf numFmtId="0" fontId="0" fillId="3" borderId="3" xfId="0" applyNumberFormat="1" applyFont="1" applyFill="1" applyBorder="1"/>
    <xf numFmtId="9" fontId="0" fillId="3" borderId="3" xfId="1" applyNumberFormat="1" applyFont="1" applyFill="1" applyBorder="1"/>
    <xf numFmtId="0" fontId="4" fillId="2" borderId="6" xfId="0" applyFont="1" applyFill="1" applyBorder="1" applyAlignment="1">
      <alignment horizontal="center"/>
    </xf>
    <xf numFmtId="14" fontId="4" fillId="2" borderId="6" xfId="0" applyNumberFormat="1" applyFont="1" applyFill="1" applyBorder="1" applyAlignment="1">
      <alignment horizontal="center"/>
    </xf>
    <xf numFmtId="0" fontId="4" fillId="2" borderId="6" xfId="0" applyNumberFormat="1" applyFont="1" applyFill="1" applyBorder="1" applyAlignment="1">
      <alignment horizontal="center"/>
    </xf>
    <xf numFmtId="9" fontId="4" fillId="2" borderId="6" xfId="1" applyNumberFormat="1" applyFont="1" applyFill="1" applyBorder="1" applyAlignment="1">
      <alignment horizontal="center"/>
    </xf>
    <xf numFmtId="9" fontId="0" fillId="0" borderId="0" xfId="0" applyNumberFormat="1"/>
    <xf numFmtId="0" fontId="5" fillId="0" borderId="0" xfId="0" applyFont="1" applyBorder="1" applyAlignment="1">
      <alignment horizontal="center"/>
    </xf>
    <xf numFmtId="0" fontId="0" fillId="0" borderId="0" xfId="0" applyBorder="1" applyAlignment="1">
      <alignment horizontal="center"/>
    </xf>
    <xf numFmtId="0" fontId="0" fillId="5" borderId="0" xfId="0" applyFill="1" applyBorder="1"/>
    <xf numFmtId="0" fontId="3" fillId="0" borderId="1" xfId="0" applyFont="1" applyBorder="1" applyAlignment="1">
      <alignment vertical="center" wrapText="1"/>
    </xf>
    <xf numFmtId="0" fontId="0" fillId="0" borderId="1" xfId="0" applyBorder="1" applyAlignment="1">
      <alignment horizontal="right" vertical="center" wrapText="1"/>
    </xf>
    <xf numFmtId="9" fontId="0" fillId="0" borderId="1" xfId="0" applyNumberFormat="1" applyBorder="1" applyAlignment="1">
      <alignment horizontal="right" vertical="center"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5" borderId="0" xfId="0" applyFill="1" applyBorder="1" applyAlignment="1"/>
    <xf numFmtId="0" fontId="0" fillId="5" borderId="0" xfId="0" applyFill="1" applyBorder="1" applyAlignment="1">
      <alignment horizontal="center"/>
    </xf>
    <xf numFmtId="0" fontId="0" fillId="5" borderId="0" xfId="0" applyFill="1" applyAlignment="1">
      <alignment horizontal="center"/>
    </xf>
    <xf numFmtId="0" fontId="3" fillId="5" borderId="0" xfId="0" applyFont="1" applyFill="1" applyAlignment="1">
      <alignment horizontal="center"/>
    </xf>
  </cellXfs>
  <cellStyles count="2">
    <cellStyle name="Normal" xfId="0" builtinId="0"/>
    <cellStyle name="Percent" xfId="1" builtinId="5"/>
  </cellStyles>
  <dxfs count="27">
    <dxf>
      <font>
        <b/>
        <i val="0"/>
        <strike val="0"/>
        <condense val="0"/>
        <extend val="0"/>
        <outline val="0"/>
        <shadow val="0"/>
        <u val="none"/>
        <vertAlign val="baseline"/>
        <sz val="11"/>
        <color auto="1"/>
        <name val="Calibri"/>
        <family val="2"/>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[Business_Analyst_Sales_Project.xlsx]month wise sales and profit!PivotTable17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a:t>
            </a:r>
            <a:endParaRPr lang="en-US" b="1"/>
          </a:p>
        </c:rich>
      </c:tx>
      <c:layout>
        <c:manualLayout>
          <c:xMode val="edge"/>
          <c:yMode val="edge"/>
          <c:x val="0.3888682918325246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67623225890944"/>
          <c:y val="0.30172043010752686"/>
          <c:w val="0.75979570121302409"/>
          <c:h val="0.53130245816047184"/>
        </c:manualLayout>
      </c:layout>
      <c:lineChart>
        <c:grouping val="stacked"/>
        <c:varyColors val="0"/>
        <c:ser>
          <c:idx val="0"/>
          <c:order val="0"/>
          <c:tx>
            <c:strRef>
              <c:f>'month wise sales and profit'!$B$3</c:f>
              <c:strCache>
                <c:ptCount val="1"/>
                <c:pt idx="0">
                  <c:v>Sum of Net_Sales</c:v>
                </c:pt>
              </c:strCache>
            </c:strRef>
          </c:tx>
          <c:spPr>
            <a:ln w="28575" cap="rnd">
              <a:solidFill>
                <a:schemeClr val="accent1"/>
              </a:solidFill>
              <a:round/>
            </a:ln>
            <a:effectLst/>
          </c:spPr>
          <c:marker>
            <c:symbol val="none"/>
          </c:marker>
          <c:cat>
            <c:strRef>
              <c:f>'month wise sales and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sales and profit'!$B$4:$B$16</c:f>
              <c:numCache>
                <c:formatCode>General</c:formatCode>
                <c:ptCount val="12"/>
                <c:pt idx="0">
                  <c:v>798300</c:v>
                </c:pt>
                <c:pt idx="1">
                  <c:v>1261905</c:v>
                </c:pt>
                <c:pt idx="2">
                  <c:v>944235</c:v>
                </c:pt>
                <c:pt idx="3">
                  <c:v>315385</c:v>
                </c:pt>
                <c:pt idx="4">
                  <c:v>1651290</c:v>
                </c:pt>
                <c:pt idx="5">
                  <c:v>957265</c:v>
                </c:pt>
                <c:pt idx="6">
                  <c:v>1333680</c:v>
                </c:pt>
                <c:pt idx="7">
                  <c:v>1200335</c:v>
                </c:pt>
                <c:pt idx="8">
                  <c:v>955595</c:v>
                </c:pt>
                <c:pt idx="9">
                  <c:v>790970</c:v>
                </c:pt>
                <c:pt idx="10">
                  <c:v>1234280</c:v>
                </c:pt>
                <c:pt idx="11">
                  <c:v>1508890</c:v>
                </c:pt>
              </c:numCache>
            </c:numRef>
          </c:val>
          <c:smooth val="0"/>
          <c:extLst>
            <c:ext xmlns:c16="http://schemas.microsoft.com/office/drawing/2014/chart" uri="{C3380CC4-5D6E-409C-BE32-E72D297353CC}">
              <c16:uniqueId val="{00000000-84C4-49B1-AD6F-796A0E00E1C0}"/>
            </c:ext>
          </c:extLst>
        </c:ser>
        <c:ser>
          <c:idx val="1"/>
          <c:order val="1"/>
          <c:tx>
            <c:strRef>
              <c:f>'month wise sales and profit'!$C$3</c:f>
              <c:strCache>
                <c:ptCount val="1"/>
                <c:pt idx="0">
                  <c:v>Sum of Profit</c:v>
                </c:pt>
              </c:strCache>
            </c:strRef>
          </c:tx>
          <c:spPr>
            <a:ln w="28575" cap="rnd">
              <a:solidFill>
                <a:schemeClr val="accent2"/>
              </a:solidFill>
              <a:round/>
            </a:ln>
            <a:effectLst/>
          </c:spPr>
          <c:marker>
            <c:symbol val="none"/>
          </c:marker>
          <c:cat>
            <c:strRef>
              <c:f>'month wise sales and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sales and profit'!$C$4:$C$16</c:f>
              <c:numCache>
                <c:formatCode>General</c:formatCode>
                <c:ptCount val="12"/>
                <c:pt idx="0">
                  <c:v>271381.04000000004</c:v>
                </c:pt>
                <c:pt idx="1">
                  <c:v>450057.49</c:v>
                </c:pt>
                <c:pt idx="2">
                  <c:v>224447.75</c:v>
                </c:pt>
                <c:pt idx="3">
                  <c:v>103679.98000000001</c:v>
                </c:pt>
                <c:pt idx="4">
                  <c:v>510085.60000000003</c:v>
                </c:pt>
                <c:pt idx="5">
                  <c:v>245222.13</c:v>
                </c:pt>
                <c:pt idx="6">
                  <c:v>427587</c:v>
                </c:pt>
                <c:pt idx="7">
                  <c:v>335177.32</c:v>
                </c:pt>
                <c:pt idx="8">
                  <c:v>305000.31999999995</c:v>
                </c:pt>
                <c:pt idx="9">
                  <c:v>235003.38999999996</c:v>
                </c:pt>
                <c:pt idx="10">
                  <c:v>361672.17</c:v>
                </c:pt>
                <c:pt idx="11">
                  <c:v>417917.02</c:v>
                </c:pt>
              </c:numCache>
            </c:numRef>
          </c:val>
          <c:smooth val="0"/>
          <c:extLst>
            <c:ext xmlns:c16="http://schemas.microsoft.com/office/drawing/2014/chart" uri="{C3380CC4-5D6E-409C-BE32-E72D297353CC}">
              <c16:uniqueId val="{00000001-84C4-49B1-AD6F-796A0E00E1C0}"/>
            </c:ext>
          </c:extLst>
        </c:ser>
        <c:dLbls>
          <c:showLegendKey val="0"/>
          <c:showVal val="0"/>
          <c:showCatName val="0"/>
          <c:showSerName val="0"/>
          <c:showPercent val="0"/>
          <c:showBubbleSize val="0"/>
        </c:dLbls>
        <c:smooth val="0"/>
        <c:axId val="501058687"/>
        <c:axId val="390961071"/>
      </c:lineChart>
      <c:catAx>
        <c:axId val="50105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61071"/>
        <c:crosses val="autoZero"/>
        <c:auto val="1"/>
        <c:lblAlgn val="ctr"/>
        <c:lblOffset val="100"/>
        <c:noMultiLvlLbl val="0"/>
      </c:catAx>
      <c:valAx>
        <c:axId val="39096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586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[Business_Analyst_Sales_Project.xlsx]category wise sales!PivotTable18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'category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08-43DD-8CFE-7FE59DD05F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08-43DD-8CFE-7FE59DD05F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08-43DD-8CFE-7FE59DD05F8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sales'!$A$4:$A$7</c:f>
              <c:strCache>
                <c:ptCount val="3"/>
                <c:pt idx="0">
                  <c:v>Accessories</c:v>
                </c:pt>
                <c:pt idx="1">
                  <c:v>Electronics</c:v>
                </c:pt>
                <c:pt idx="2">
                  <c:v>Furniture</c:v>
                </c:pt>
              </c:strCache>
            </c:strRef>
          </c:cat>
          <c:val>
            <c:numRef>
              <c:f>'category wise sales'!$B$4:$B$7</c:f>
              <c:numCache>
                <c:formatCode>General</c:formatCode>
                <c:ptCount val="3"/>
                <c:pt idx="0">
                  <c:v>1085530</c:v>
                </c:pt>
                <c:pt idx="1">
                  <c:v>9192325</c:v>
                </c:pt>
                <c:pt idx="2">
                  <c:v>2674275</c:v>
                </c:pt>
              </c:numCache>
            </c:numRef>
          </c:val>
          <c:extLst>
            <c:ext xmlns:c16="http://schemas.microsoft.com/office/drawing/2014/chart" uri="{C3380CC4-5D6E-409C-BE32-E72D297353CC}">
              <c16:uniqueId val="{00000006-4D08-43DD-8CFE-7FE59DD05F8E}"/>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[Business_Analyst_Sales_Project.xlsx]region wise sales!PivotTable6</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Sales by Region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23962836080569"/>
          <c:y val="0.22335120343999554"/>
          <c:w val="0.79976036790895078"/>
          <c:h val="0.64326468806783765"/>
        </c:manualLayout>
      </c:layout>
      <c:barChart>
        <c:barDir val="col"/>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cat>
            <c:strRef>
              <c:f>'region wise sales'!$A$4:$A$9</c:f>
              <c:strCache>
                <c:ptCount val="5"/>
                <c:pt idx="0">
                  <c:v>Central</c:v>
                </c:pt>
                <c:pt idx="1">
                  <c:v>East</c:v>
                </c:pt>
                <c:pt idx="2">
                  <c:v>North</c:v>
                </c:pt>
                <c:pt idx="3">
                  <c:v>South</c:v>
                </c:pt>
                <c:pt idx="4">
                  <c:v>West</c:v>
                </c:pt>
              </c:strCache>
            </c:strRef>
          </c:cat>
          <c:val>
            <c:numRef>
              <c:f>'region wise sales'!$B$4:$B$9</c:f>
              <c:numCache>
                <c:formatCode>General</c:formatCode>
                <c:ptCount val="5"/>
                <c:pt idx="0">
                  <c:v>778385</c:v>
                </c:pt>
                <c:pt idx="1">
                  <c:v>1140425</c:v>
                </c:pt>
                <c:pt idx="2">
                  <c:v>4198890</c:v>
                </c:pt>
                <c:pt idx="3">
                  <c:v>5648180</c:v>
                </c:pt>
                <c:pt idx="4">
                  <c:v>1186250</c:v>
                </c:pt>
              </c:numCache>
            </c:numRef>
          </c:val>
          <c:extLst>
            <c:ext xmlns:c16="http://schemas.microsoft.com/office/drawing/2014/chart" uri="{C3380CC4-5D6E-409C-BE32-E72D297353CC}">
              <c16:uniqueId val="{00000000-C9DF-4F49-81B4-16DB83EBF593}"/>
            </c:ext>
          </c:extLst>
        </c:ser>
        <c:dLbls>
          <c:showLegendKey val="0"/>
          <c:showVal val="0"/>
          <c:showCatName val="0"/>
          <c:showSerName val="0"/>
          <c:showPercent val="0"/>
          <c:showBubbleSize val="0"/>
        </c:dLbls>
        <c:gapWidth val="182"/>
        <c:axId val="501031311"/>
        <c:axId val="390955791"/>
      </c:barChart>
      <c:catAx>
        <c:axId val="50103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55791"/>
        <c:crosses val="autoZero"/>
        <c:auto val="1"/>
        <c:lblAlgn val="ctr"/>
        <c:lblOffset val="100"/>
        <c:noMultiLvlLbl val="0"/>
      </c:catAx>
      <c:valAx>
        <c:axId val="390955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3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[Business_Analyst_Sales_Project.xlsx]product wise sales!PivotTable3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endParaRPr lang="en-US"/>
          </a:p>
        </c:rich>
      </c:tx>
      <c:layout>
        <c:manualLayout>
          <c:xMode val="edge"/>
          <c:yMode val="edge"/>
          <c:x val="0.23363199845418095"/>
          <c:y val="5.75539568345323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sales'!$B$3</c:f>
              <c:strCache>
                <c:ptCount val="1"/>
                <c:pt idx="0">
                  <c:v>Total</c:v>
                </c:pt>
              </c:strCache>
            </c:strRef>
          </c:tx>
          <c:spPr>
            <a:solidFill>
              <a:schemeClr val="accent1"/>
            </a:solidFill>
            <a:ln>
              <a:noFill/>
            </a:ln>
            <a:effectLst/>
          </c:spPr>
          <c:invertIfNegative val="0"/>
          <c:cat>
            <c:strRef>
              <c:f>'product wise sales'!$A$4:$A$14</c:f>
              <c:strCache>
                <c:ptCount val="10"/>
                <c:pt idx="0">
                  <c:v>Business Monitor 24</c:v>
                </c:pt>
                <c:pt idx="1">
                  <c:v>Conference Camera</c:v>
                </c:pt>
                <c:pt idx="2">
                  <c:v>Docking Station</c:v>
                </c:pt>
                <c:pt idx="3">
                  <c:v>Laptop Air 13</c:v>
                </c:pt>
                <c:pt idx="4">
                  <c:v>Laptop Pro 14</c:v>
                </c:pt>
                <c:pt idx="5">
                  <c:v>Office Chair</c:v>
                </c:pt>
                <c:pt idx="6">
                  <c:v>Office Headset</c:v>
                </c:pt>
                <c:pt idx="7">
                  <c:v>Standing Desk</c:v>
                </c:pt>
                <c:pt idx="8">
                  <c:v>Wireless Keyboard</c:v>
                </c:pt>
                <c:pt idx="9">
                  <c:v>Wireless Mouse</c:v>
                </c:pt>
              </c:strCache>
            </c:strRef>
          </c:cat>
          <c:val>
            <c:numRef>
              <c:f>'product wise sales'!$B$4:$B$14</c:f>
              <c:numCache>
                <c:formatCode>General</c:formatCode>
                <c:ptCount val="10"/>
                <c:pt idx="0">
                  <c:v>970050</c:v>
                </c:pt>
                <c:pt idx="1">
                  <c:v>1094775</c:v>
                </c:pt>
                <c:pt idx="2">
                  <c:v>570490</c:v>
                </c:pt>
                <c:pt idx="3">
                  <c:v>3044200</c:v>
                </c:pt>
                <c:pt idx="4">
                  <c:v>4083300</c:v>
                </c:pt>
                <c:pt idx="5">
                  <c:v>1179375</c:v>
                </c:pt>
                <c:pt idx="6">
                  <c:v>218400</c:v>
                </c:pt>
                <c:pt idx="7">
                  <c:v>1494900</c:v>
                </c:pt>
                <c:pt idx="8">
                  <c:v>93600</c:v>
                </c:pt>
                <c:pt idx="9">
                  <c:v>203040</c:v>
                </c:pt>
              </c:numCache>
            </c:numRef>
          </c:val>
          <c:extLst>
            <c:ext xmlns:c16="http://schemas.microsoft.com/office/drawing/2014/chart" uri="{C3380CC4-5D6E-409C-BE32-E72D297353CC}">
              <c16:uniqueId val="{00000000-9660-4023-B3FF-53CCC33F2416}"/>
            </c:ext>
          </c:extLst>
        </c:ser>
        <c:dLbls>
          <c:showLegendKey val="0"/>
          <c:showVal val="0"/>
          <c:showCatName val="0"/>
          <c:showSerName val="0"/>
          <c:showPercent val="0"/>
          <c:showBubbleSize val="0"/>
        </c:dLbls>
        <c:gapWidth val="182"/>
        <c:axId val="472864831"/>
        <c:axId val="390886191"/>
      </c:barChart>
      <c:catAx>
        <c:axId val="47286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86191"/>
        <c:crosses val="autoZero"/>
        <c:auto val="1"/>
        <c:lblAlgn val="ctr"/>
        <c:lblOffset val="100"/>
        <c:noMultiLvlLbl val="0"/>
      </c:catAx>
      <c:valAx>
        <c:axId val="390886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6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[Business_Analyst_Sales_Project.xlsx]channel wise sales!PivotTable19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'channel wise sales'!$B$3</c:f>
              <c:strCache>
                <c:ptCount val="1"/>
                <c:pt idx="0">
                  <c:v>Total</c:v>
                </c:pt>
              </c:strCache>
            </c:strRef>
          </c:tx>
          <c:spPr>
            <a:solidFill>
              <a:schemeClr val="accent1"/>
            </a:solidFill>
            <a:ln>
              <a:noFill/>
            </a:ln>
            <a:effectLst/>
          </c:spPr>
          <c:invertIfNegative val="0"/>
          <c:cat>
            <c:strRef>
              <c:f>'channel wise sales'!$A$4:$A$7</c:f>
              <c:strCache>
                <c:ptCount val="3"/>
                <c:pt idx="0">
                  <c:v>Online</c:v>
                </c:pt>
                <c:pt idx="1">
                  <c:v>Partner</c:v>
                </c:pt>
                <c:pt idx="2">
                  <c:v>Retail</c:v>
                </c:pt>
              </c:strCache>
            </c:strRef>
          </c:cat>
          <c:val>
            <c:numRef>
              <c:f>'channel wise sales'!$B$4:$B$7</c:f>
              <c:numCache>
                <c:formatCode>General</c:formatCode>
                <c:ptCount val="3"/>
                <c:pt idx="0">
                  <c:v>4487245</c:v>
                </c:pt>
                <c:pt idx="1">
                  <c:v>4936155</c:v>
                </c:pt>
                <c:pt idx="2">
                  <c:v>3528730</c:v>
                </c:pt>
              </c:numCache>
            </c:numRef>
          </c:val>
          <c:extLst>
            <c:ext xmlns:c16="http://schemas.microsoft.com/office/drawing/2014/chart" uri="{C3380CC4-5D6E-409C-BE32-E72D297353CC}">
              <c16:uniqueId val="{00000000-E548-446F-9C1E-42643EBBFFCC}"/>
            </c:ext>
          </c:extLst>
        </c:ser>
        <c:dLbls>
          <c:showLegendKey val="0"/>
          <c:showVal val="0"/>
          <c:showCatName val="0"/>
          <c:showSerName val="0"/>
          <c:showPercent val="0"/>
          <c:showBubbleSize val="0"/>
        </c:dLbls>
        <c:gapWidth val="182"/>
        <c:axId val="1062131999"/>
        <c:axId val="390976911"/>
      </c:barChart>
      <c:catAx>
        <c:axId val="1062131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76911"/>
        <c:crosses val="autoZero"/>
        <c:auto val="1"/>
        <c:lblAlgn val="ctr"/>
        <c:lblOffset val="100"/>
        <c:noMultiLvlLbl val="0"/>
      </c:catAx>
      <c:valAx>
        <c:axId val="390976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3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xdr:col>
      <xdr:colOff>120650</xdr:colOff>
      <xdr:row>1</xdr:row>
      <xdr:rowOff>114300</xdr:rowOff>
    </xdr:from>
    <xdr:to>
      <xdr:col>4</xdr:col>
      <xdr:colOff>768350</xdr:colOff>
      <xdr:row>15</xdr:row>
      <xdr:rowOff>60325</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A162B5E4-63F3-B44D-3166-61F2C9B8F1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13050" y="298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596900</xdr:colOff>
      <xdr:row>4</xdr:row>
      <xdr:rowOff>38100</xdr:rowOff>
    </xdr:from>
    <xdr:to>
      <xdr:col>4</xdr:col>
      <xdr:colOff>1244600</xdr:colOff>
      <xdr:row>17</xdr:row>
      <xdr:rowOff>168275</xdr:rowOff>
    </xdr:to>
    <mc:AlternateContent xmlns:mc="http://schemas.openxmlformats.org/markup-compatibility/2006">
      <mc:Choice xmlns:sle15="http://schemas.microsoft.com/office/drawing/2012/slicer" Requires="sle15">
        <xdr:graphicFrame macro="">
          <xdr:nvGraphicFramePr>
            <xdr:cNvPr id="3" name="Category">
              <a:extLst>
                <a:ext uri="{FF2B5EF4-FFF2-40B4-BE49-F238E27FC236}">
                  <a16:creationId xmlns:a16="http://schemas.microsoft.com/office/drawing/2014/main" id="{BF405D1B-0D84-1EC3-C291-7D011449A3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89300" y="774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1073150</xdr:colOff>
      <xdr:row>6</xdr:row>
      <xdr:rowOff>146050</xdr:rowOff>
    </xdr:from>
    <xdr:to>
      <xdr:col>5</xdr:col>
      <xdr:colOff>323850</xdr:colOff>
      <xdr:row>20</xdr:row>
      <xdr:rowOff>92075</xdr:rowOff>
    </xdr:to>
    <mc:AlternateContent xmlns:mc="http://schemas.openxmlformats.org/markup-compatibility/2006">
      <mc:Choice xmlns:sle15="http://schemas.microsoft.com/office/drawing/2012/slicer" Requires="sle15">
        <xdr:graphicFrame macro="">
          <xdr:nvGraphicFramePr>
            <xdr:cNvPr id="4" name="Sales_Channel">
              <a:extLst>
                <a:ext uri="{FF2B5EF4-FFF2-40B4-BE49-F238E27FC236}">
                  <a16:creationId xmlns:a16="http://schemas.microsoft.com/office/drawing/2014/main" id="{477AABFC-B65C-7E65-F5B4-AADD4E8193E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3765550" y="125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368300</xdr:colOff>
      <xdr:row>9</xdr:row>
      <xdr:rowOff>69850</xdr:rowOff>
    </xdr:from>
    <xdr:to>
      <xdr:col>5</xdr:col>
      <xdr:colOff>800100</xdr:colOff>
      <xdr:row>23</xdr:row>
      <xdr:rowOff>15875</xdr:rowOff>
    </xdr:to>
    <mc:AlternateContent xmlns:mc="http://schemas.openxmlformats.org/markup-compatibility/2006">
      <mc:Choice xmlns:sle15="http://schemas.microsoft.com/office/drawing/2012/slicer" Requires="sle15">
        <xdr:graphicFrame macro="">
          <xdr:nvGraphicFramePr>
            <xdr:cNvPr id="5" name="Order_Status">
              <a:extLst>
                <a:ext uri="{FF2B5EF4-FFF2-40B4-BE49-F238E27FC236}">
                  <a16:creationId xmlns:a16="http://schemas.microsoft.com/office/drawing/2014/main" id="{CDCB29D7-29DB-6C7E-BD4F-4D6FD1238150}"/>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4241800" y="172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3</xdr:row>
      <xdr:rowOff>0</xdr:rowOff>
    </xdr:from>
    <xdr:to>
      <xdr:col>8</xdr:col>
      <xdr:colOff>546100</xdr:colOff>
      <xdr:row>9</xdr:row>
      <xdr:rowOff>158750</xdr:rowOff>
    </xdr:to>
    <xdr:graphicFrame macro="">
      <xdr:nvGraphicFramePr>
        <xdr:cNvPr id="2" name="Chart 1">
          <a:extLst>
            <a:ext uri="{FF2B5EF4-FFF2-40B4-BE49-F238E27FC236}">
              <a16:creationId xmlns:a16="http://schemas.microsoft.com/office/drawing/2014/main" id="{D0F5D103-263A-4B70-83DD-74231DF5F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50800</xdr:colOff>
      <xdr:row>3</xdr:row>
      <xdr:rowOff>0</xdr:rowOff>
    </xdr:from>
    <xdr:to>
      <xdr:col>14</xdr:col>
      <xdr:colOff>196850</xdr:colOff>
      <xdr:row>9</xdr:row>
      <xdr:rowOff>158750</xdr:rowOff>
    </xdr:to>
    <xdr:graphicFrame macro="">
      <xdr:nvGraphicFramePr>
        <xdr:cNvPr id="3" name="Chart 3">
          <a:extLst>
            <a:ext uri="{FF2B5EF4-FFF2-40B4-BE49-F238E27FC236}">
              <a16:creationId xmlns:a16="http://schemas.microsoft.com/office/drawing/2014/main" id="{39037A77-17D3-63FE-06ED-02394D5D8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431800</xdr:colOff>
      <xdr:row>10</xdr:row>
      <xdr:rowOff>114300</xdr:rowOff>
    </xdr:from>
    <xdr:to>
      <xdr:col>14</xdr:col>
      <xdr:colOff>184150</xdr:colOff>
      <xdr:row>20</xdr:row>
      <xdr:rowOff>63500</xdr:rowOff>
    </xdr:to>
    <xdr:graphicFrame macro="">
      <xdr:nvGraphicFramePr>
        <xdr:cNvPr id="5" name="Chart 1">
          <a:extLst>
            <a:ext uri="{FF2B5EF4-FFF2-40B4-BE49-F238E27FC236}">
              <a16:creationId xmlns:a16="http://schemas.microsoft.com/office/drawing/2014/main" id="{BE0AF34B-36BC-754B-C165-FAE23937D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298450</xdr:colOff>
      <xdr:row>11</xdr:row>
      <xdr:rowOff>12700</xdr:rowOff>
    </xdr:from>
    <xdr:to>
      <xdr:col>9</xdr:col>
      <xdr:colOff>228600</xdr:colOff>
      <xdr:row>20</xdr:row>
      <xdr:rowOff>120650</xdr:rowOff>
    </xdr:to>
    <xdr:graphicFrame macro="">
      <xdr:nvGraphicFramePr>
        <xdr:cNvPr id="6" name="Chart 4">
          <a:extLst>
            <a:ext uri="{FF2B5EF4-FFF2-40B4-BE49-F238E27FC236}">
              <a16:creationId xmlns:a16="http://schemas.microsoft.com/office/drawing/2014/main" id="{1047F961-5E6C-A6F7-300A-995BF7D76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xdr:row>
      <xdr:rowOff>12700</xdr:rowOff>
    </xdr:from>
    <xdr:to>
      <xdr:col>4</xdr:col>
      <xdr:colOff>139700</xdr:colOff>
      <xdr:row>20</xdr:row>
      <xdr:rowOff>139700</xdr:rowOff>
    </xdr:to>
    <xdr:graphicFrame macro="">
      <xdr:nvGraphicFramePr>
        <xdr:cNvPr id="7" name="Chart 2">
          <a:extLst>
            <a:ext uri="{FF2B5EF4-FFF2-40B4-BE49-F238E27FC236}">
              <a16:creationId xmlns:a16="http://schemas.microsoft.com/office/drawing/2014/main" id="{20D2A0A6-3D2B-C7BF-6DCA-9EB219906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0</xdr:colOff>
      <xdr:row>22</xdr:row>
      <xdr:rowOff>158751</xdr:rowOff>
    </xdr:from>
    <xdr:to>
      <xdr:col>2</xdr:col>
      <xdr:colOff>533400</xdr:colOff>
      <xdr:row>29</xdr:row>
      <xdr:rowOff>107950</xdr:rowOff>
    </xdr:to>
    <mc:AlternateContent xmlns:mc="http://schemas.openxmlformats.org/markup-compatibility/2006">
      <mc:Choice xmlns:sle15="http://schemas.microsoft.com/office/drawing/2012/slicer" Requires="sle15">
        <xdr:graphicFrame macro="">
          <xdr:nvGraphicFramePr>
            <xdr:cNvPr id="8" name="Order_Status 1">
              <a:extLst>
                <a:ext uri="{FF2B5EF4-FFF2-40B4-BE49-F238E27FC236}">
                  <a16:creationId xmlns:a16="http://schemas.microsoft.com/office/drawing/2014/main" id="{CA5EB2DD-49EA-4765-881B-29464C5341D3}"/>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0" y="4927601"/>
              <a:ext cx="1866900" cy="12382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317500</xdr:colOff>
      <xdr:row>22</xdr:row>
      <xdr:rowOff>146051</xdr:rowOff>
    </xdr:from>
    <xdr:to>
      <xdr:col>6</xdr:col>
      <xdr:colOff>342900</xdr:colOff>
      <xdr:row>29</xdr:row>
      <xdr:rowOff>95251</xdr:rowOff>
    </xdr:to>
    <mc:AlternateContent xmlns:mc="http://schemas.openxmlformats.org/markup-compatibility/2006">
      <mc:Choice xmlns:sle15="http://schemas.microsoft.com/office/drawing/2012/slicer" Requires="sle15">
        <xdr:graphicFrame macro="">
          <xdr:nvGraphicFramePr>
            <xdr:cNvPr id="9" name="Sales_Channel 1">
              <a:extLst>
                <a:ext uri="{FF2B5EF4-FFF2-40B4-BE49-F238E27FC236}">
                  <a16:creationId xmlns:a16="http://schemas.microsoft.com/office/drawing/2014/main" id="{4CD79FCF-23F3-4A0F-8803-1E71ECE0F53D}"/>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2260600" y="4914901"/>
              <a:ext cx="1854200" cy="1238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476250</xdr:colOff>
      <xdr:row>22</xdr:row>
      <xdr:rowOff>139701</xdr:rowOff>
    </xdr:from>
    <xdr:to>
      <xdr:col>9</xdr:col>
      <xdr:colOff>482600</xdr:colOff>
      <xdr:row>29</xdr:row>
      <xdr:rowOff>76201</xdr:rowOff>
    </xdr:to>
    <mc:AlternateContent xmlns:mc="http://schemas.openxmlformats.org/markup-compatibility/2006">
      <mc:Choice xmlns:sle15="http://schemas.microsoft.com/office/drawing/2012/slicer" Requires="sle15">
        <xdr:graphicFrame macro="">
          <xdr:nvGraphicFramePr>
            <xdr:cNvPr id="10" name="Category 1">
              <a:extLst>
                <a:ext uri="{FF2B5EF4-FFF2-40B4-BE49-F238E27FC236}">
                  <a16:creationId xmlns:a16="http://schemas.microsoft.com/office/drawing/2014/main" id="{55C4239A-F358-44B9-840D-2FE349F8DD4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248150" y="4908551"/>
              <a:ext cx="1835150" cy="12255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25400</xdr:colOff>
      <xdr:row>22</xdr:row>
      <xdr:rowOff>19051</xdr:rowOff>
    </xdr:from>
    <xdr:to>
      <xdr:col>13</xdr:col>
      <xdr:colOff>38100</xdr:colOff>
      <xdr:row>32</xdr:row>
      <xdr:rowOff>44451</xdr:rowOff>
    </xdr:to>
    <mc:AlternateContent xmlns:mc="http://schemas.openxmlformats.org/markup-compatibility/2006">
      <mc:Choice xmlns:sle15="http://schemas.microsoft.com/office/drawing/2012/slicer" Requires="sle15">
        <xdr:graphicFrame macro="">
          <xdr:nvGraphicFramePr>
            <xdr:cNvPr id="11" name="Region 1">
              <a:extLst>
                <a:ext uri="{FF2B5EF4-FFF2-40B4-BE49-F238E27FC236}">
                  <a16:creationId xmlns:a16="http://schemas.microsoft.com/office/drawing/2014/main" id="{9536C7D6-0E5C-49A9-870A-020C9888530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235700" y="4787901"/>
              <a:ext cx="1841500" cy="18669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222250</xdr:colOff>
      <xdr:row>0</xdr:row>
      <xdr:rowOff>146050</xdr:rowOff>
    </xdr:from>
    <xdr:to>
      <xdr:col>9</xdr:col>
      <xdr:colOff>552450</xdr:colOff>
      <xdr:row>2</xdr:row>
      <xdr:rowOff>101600</xdr:rowOff>
    </xdr:to>
    <xdr:sp macro="" textlink="">
      <xdr:nvSpPr>
        <xdr:cNvPr id="12" name="TextBox 11">
          <a:extLst>
            <a:ext uri="{FF2B5EF4-FFF2-40B4-BE49-F238E27FC236}">
              <a16:creationId xmlns:a16="http://schemas.microsoft.com/office/drawing/2014/main" id="{E62A7D68-F652-F52E-9556-591EBA07E236}"/>
            </a:ext>
          </a:extLst>
        </xdr:cNvPr>
        <xdr:cNvSpPr txBox="1"/>
      </xdr:nvSpPr>
      <xdr:spPr>
        <a:xfrm>
          <a:off x="3384550" y="146050"/>
          <a:ext cx="27686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t>Sales</a:t>
          </a:r>
          <a:r>
            <a:rPr lang="en-IN" sz="2800" b="1" baseline="0"/>
            <a:t> Dashboard</a:t>
          </a:r>
          <a:endParaRPr lang="en-IN" sz="2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ini Thonduru" refreshedDate="46288.698487268521" createdVersion="8" refreshedVersion="8" minRefreshableVersion="3" recordCount="300" xr:uid="{F3EF4E3F-1198-4241-B277-75AF497943A4}">
  <cacheSource type="worksheet">
    <worksheetSource ref="A1:X301" sheet="Raw_Data"/>
  </cacheSource>
  <cacheFields count="25">
    <cacheField name="Order_ID" numFmtId="0">
      <sharedItems/>
    </cacheField>
    <cacheField name="Order_Date" numFmtId="14">
      <sharedItems containsSemiMixedTypes="0" containsNonDate="0" containsDate="1" containsString="0" minDate="2025-01-01T00:00:00" maxDate="2025-12-30T00:00:00" count="210">
        <d v="2025-01-01T00:00:00"/>
        <d v="2025-01-04T00:00:00"/>
        <d v="2025-01-05T00:00:00"/>
        <d v="2025-01-08T00:00:00"/>
        <d v="2025-01-09T00:00:00"/>
        <d v="2025-01-10T00:00:00"/>
        <d v="2025-01-11T00:00:00"/>
        <d v="2025-01-13T00:00:00"/>
        <d v="2025-01-15T00:00:00"/>
        <d v="2025-01-17T00:00:00"/>
        <d v="2025-01-18T00:00:00"/>
        <d v="2025-01-20T00:00:00"/>
        <d v="2025-01-21T00:00:00"/>
        <d v="2025-01-23T00:00:00"/>
        <d v="2025-01-24T00:00:00"/>
        <d v="2025-01-25T00:00:00"/>
        <d v="2025-01-26T00:00:00"/>
        <d v="2025-01-28T00:00:00"/>
        <d v="2025-01-30T00:00:00"/>
        <d v="2025-01-31T00:00:00"/>
        <d v="2025-02-02T00:00:00"/>
        <d v="2025-02-03T00:00:00"/>
        <d v="2025-02-04T00:00:00"/>
        <d v="2025-02-07T00:00:00"/>
        <d v="2025-02-08T00:00:00"/>
        <d v="2025-02-09T00:00:00"/>
        <d v="2025-02-10T00:00:00"/>
        <d v="2025-02-11T00:00:00"/>
        <d v="2025-02-16T00:00:00"/>
        <d v="2025-02-17T00:00:00"/>
        <d v="2025-02-20T00:00:00"/>
        <d v="2025-02-21T00:00:00"/>
        <d v="2025-02-22T00:00:00"/>
        <d v="2025-02-24T00:00:00"/>
        <d v="2025-02-28T00:00:00"/>
        <d v="2025-03-02T00:00:00"/>
        <d v="2025-03-03T00:00:00"/>
        <d v="2025-03-07T00:00:00"/>
        <d v="2025-03-09T00:00:00"/>
        <d v="2025-03-12T00:00:00"/>
        <d v="2025-03-13T00:00:00"/>
        <d v="2025-03-15T00:00:00"/>
        <d v="2025-03-20T00:00:00"/>
        <d v="2025-03-21T00:00:00"/>
        <d v="2025-03-22T00:00:00"/>
        <d v="2025-03-24T00:00:00"/>
        <d v="2025-03-26T00:00:00"/>
        <d v="2025-03-27T00:00:00"/>
        <d v="2025-03-31T00:00:00"/>
        <d v="2025-04-01T00:00:00"/>
        <d v="2025-04-04T00:00:00"/>
        <d v="2025-04-06T00:00:00"/>
        <d v="2025-04-07T00:00:00"/>
        <d v="2025-04-08T00:00:00"/>
        <d v="2025-04-10T00:00:00"/>
        <d v="2025-04-11T00:00:00"/>
        <d v="2025-04-15T00:00:00"/>
        <d v="2025-04-16T00:00:00"/>
        <d v="2025-04-22T00:00:00"/>
        <d v="2025-04-23T00:00:00"/>
        <d v="2025-04-24T00:00:00"/>
        <d v="2025-04-27T00:00:00"/>
        <d v="2025-04-30T00:00:00"/>
        <d v="2025-05-02T00:00:00"/>
        <d v="2025-05-03T00:00:00"/>
        <d v="2025-05-04T00:00:00"/>
        <d v="2025-05-05T00:00:00"/>
        <d v="2025-05-07T00:00:00"/>
        <d v="2025-05-09T00:00:00"/>
        <d v="2025-05-14T00:00:00"/>
        <d v="2025-05-16T00:00:00"/>
        <d v="2025-05-17T00:00:00"/>
        <d v="2025-05-19T00:00:00"/>
        <d v="2025-05-20T00:00:00"/>
        <d v="2025-05-21T00:00:00"/>
        <d v="2025-05-22T00:00:00"/>
        <d v="2025-05-24T00:00:00"/>
        <d v="2025-05-28T00:00:00"/>
        <d v="2025-05-30T00:00:00"/>
        <d v="2025-06-01T00:00:00"/>
        <d v="2025-06-02T00:00:00"/>
        <d v="2025-06-03T00:00:00"/>
        <d v="2025-06-08T00:00:00"/>
        <d v="2025-06-10T00:00:00"/>
        <d v="2025-06-15T00:00:00"/>
        <d v="2025-06-17T00:00:00"/>
        <d v="2025-06-19T00:00:00"/>
        <d v="2025-06-20T00:00:00"/>
        <d v="2025-06-21T00:00:00"/>
        <d v="2025-06-22T00:00:00"/>
        <d v="2025-06-23T00:00:00"/>
        <d v="2025-06-25T00:00:00"/>
        <d v="2025-06-26T00:00:00"/>
        <d v="2025-06-27T00:00:00"/>
        <d v="2025-06-30T00:00:00"/>
        <d v="2025-07-01T00:00:00"/>
        <d v="2025-07-02T00:00:00"/>
        <d v="2025-07-03T00:00:00"/>
        <d v="2025-07-05T00:00:00"/>
        <d v="2025-07-06T00:00:00"/>
        <d v="2025-07-07T00:00:00"/>
        <d v="2025-07-09T00:00:00"/>
        <d v="2025-07-13T00:00:00"/>
        <d v="2025-07-14T00:00:00"/>
        <d v="2025-07-16T00:00:00"/>
        <d v="2025-07-18T00:00:00"/>
        <d v="2025-07-21T00:00:00"/>
        <d v="2025-07-23T00:00:00"/>
        <d v="2025-07-29T00:00:00"/>
        <d v="2025-07-31T00:00:00"/>
        <d v="2025-08-01T00:00:00"/>
        <d v="2025-08-03T00:00:00"/>
        <d v="2025-08-04T00:00:00"/>
        <d v="2025-08-05T00:00:00"/>
        <d v="2025-08-06T00:00:00"/>
        <d v="2025-08-09T00:00:00"/>
        <d v="2025-08-10T00:00:00"/>
        <d v="2025-08-11T00:00:00"/>
        <d v="2025-08-14T00:00:00"/>
        <d v="2025-08-15T00:00:00"/>
        <d v="2025-08-16T00:00:00"/>
        <d v="2025-08-18T00:00:00"/>
        <d v="2025-08-19T00:00:00"/>
        <d v="2025-08-21T00:00:00"/>
        <d v="2025-08-22T00:00:00"/>
        <d v="2025-08-23T00:00:00"/>
        <d v="2025-08-24T00:00:00"/>
        <d v="2025-08-25T00:00:00"/>
        <d v="2025-08-26T00:00:00"/>
        <d v="2025-08-28T00:00:00"/>
        <d v="2025-08-29T00:00:00"/>
        <d v="2025-08-31T00:00:00"/>
        <d v="2025-09-01T00:00:00"/>
        <d v="2025-09-02T00:00:00"/>
        <d v="2025-09-04T00:00:00"/>
        <d v="2025-09-05T00:00:00"/>
        <d v="2025-09-07T00:00:00"/>
        <d v="2025-09-08T00:00:00"/>
        <d v="2025-09-09T00:00:00"/>
        <d v="2025-09-11T00:00:00"/>
        <d v="2025-09-12T00:00:00"/>
        <d v="2025-09-13T00:00:00"/>
        <d v="2025-09-14T00:00:00"/>
        <d v="2025-09-15T00:00:00"/>
        <d v="2025-09-16T00:00:00"/>
        <d v="2025-09-17T00:00:00"/>
        <d v="2025-09-18T00:00:00"/>
        <d v="2025-09-19T00:00:00"/>
        <d v="2025-09-21T00:00:00"/>
        <d v="2025-09-22T00:00:00"/>
        <d v="2025-09-23T00:00:00"/>
        <d v="2025-09-25T00:00:00"/>
        <d v="2025-09-27T00:00:00"/>
        <d v="2025-09-29T00:00:00"/>
        <d v="2025-10-01T00:00:00"/>
        <d v="2025-10-03T00:00:00"/>
        <d v="2025-10-05T00:00:00"/>
        <d v="2025-10-10T00:00:00"/>
        <d v="2025-10-11T00:00:00"/>
        <d v="2025-10-12T00:00:00"/>
        <d v="2025-10-13T00:00:00"/>
        <d v="2025-10-16T00:00:00"/>
        <d v="2025-10-17T00:00:00"/>
        <d v="2025-10-20T00:00:00"/>
        <d v="2025-10-21T00:00:00"/>
        <d v="2025-10-23T00:00:00"/>
        <d v="2025-10-25T00:00:00"/>
        <d v="2025-10-26T00:00:00"/>
        <d v="2025-10-27T00:00:00"/>
        <d v="2025-10-30T00:00:00"/>
        <d v="2025-11-01T00:00:00"/>
        <d v="2025-11-02T00:00:00"/>
        <d v="2025-11-03T00:00:00"/>
        <d v="2025-11-05T00:00:00"/>
        <d v="2025-11-06T00:00:00"/>
        <d v="2025-11-07T00:00:00"/>
        <d v="2025-11-08T00:00:00"/>
        <d v="2025-11-09T00:00:00"/>
        <d v="2025-11-11T00:00:00"/>
        <d v="2025-11-12T00:00:00"/>
        <d v="2025-11-13T00:00:00"/>
        <d v="2025-11-14T00:00:00"/>
        <d v="2025-11-15T00:00:00"/>
        <d v="2025-11-18T00:00:00"/>
        <d v="2025-11-21T00:00:00"/>
        <d v="2025-11-25T00:00:00"/>
        <d v="2025-11-27T00:00:00"/>
        <d v="2025-11-28T00:00:00"/>
        <d v="2025-11-29T00:00:00"/>
        <d v="2025-11-30T00:00:00"/>
        <d v="2025-12-01T00:00:00"/>
        <d v="2025-12-02T00:00:00"/>
        <d v="2025-12-05T00:00:00"/>
        <d v="2025-12-06T00:00:00"/>
        <d v="2025-12-07T00:00:00"/>
        <d v="2025-12-08T00:00:00"/>
        <d v="2025-12-10T00:00:00"/>
        <d v="2025-12-11T00:00:00"/>
        <d v="2025-12-13T00:00:00"/>
        <d v="2025-12-17T00:00:00"/>
        <d v="2025-12-19T00:00:00"/>
        <d v="2025-12-20T00:00:00"/>
        <d v="2025-12-21T00:00:00"/>
        <d v="2025-12-22T00:00:00"/>
        <d v="2025-12-23T00:00:00"/>
        <d v="2025-12-24T00:00:00"/>
        <d v="2025-12-25T00:00:00"/>
        <d v="2025-12-26T00:00:00"/>
        <d v="2025-12-27T00:00:00"/>
        <d v="2025-12-29T00:00:00"/>
      </sharedItems>
      <fieldGroup par="24"/>
    </cacheField>
    <cacheField name="Customer_ID" numFmtId="0">
      <sharedItems/>
    </cacheField>
    <cacheField name="Customer_Name" numFmtId="0">
      <sharedItems count="20">
        <s v="Aditya Jain"/>
        <s v="Divya Iyer"/>
        <s v="Meera Nair"/>
        <s v="Arjun Rao"/>
        <s v="Ananya Das"/>
        <s v="Priya Singh"/>
        <s v="Rahul Kumar"/>
        <s v="Karan Mehta"/>
        <s v="Tanya Kapoor"/>
        <s v="Sahil Khan"/>
        <s v="Neha Verma"/>
        <s v="Vikram Patel"/>
        <s v="Sneha Reddy"/>
        <s v="Nikhil Bansal"/>
        <s v="Kavya Menon"/>
        <s v="Manish Yadav"/>
        <s v="Ishita Roy"/>
        <s v="Pooja Shah"/>
        <s v="Rohan Gupta"/>
        <s v="Aarav Sharma"/>
      </sharedItems>
    </cacheField>
    <cacheField name="City" numFmtId="0">
      <sharedItems/>
    </cacheField>
    <cacheField name="Region" numFmtId="0">
      <sharedItems count="5">
        <s v="North"/>
        <s v="South"/>
        <s v="East"/>
        <s v="West"/>
        <s v="Central"/>
      </sharedItems>
    </cacheField>
    <cacheField name="Customer_Segment" numFmtId="0">
      <sharedItems/>
    </cacheField>
    <cacheField name="Product_ID" numFmtId="0">
      <sharedItems count="10">
        <s v="P009"/>
        <s v="P001"/>
        <s v="P003"/>
        <s v="P006"/>
        <s v="P007"/>
        <s v="P005"/>
        <s v="P002"/>
        <s v="P010"/>
        <s v="P004"/>
        <s v="P008"/>
      </sharedItems>
    </cacheField>
    <cacheField name="Product_Name" numFmtId="0">
      <sharedItems count="10">
        <s v="Standing Desk"/>
        <s v="Laptop Pro 14"/>
        <s v="Business Monitor 24"/>
        <s v="Office Headset"/>
        <s v="Docking Station"/>
        <s v="Wireless Mouse"/>
        <s v="Laptop Air 13"/>
        <s v="Conference Camera"/>
        <s v="Wireless Keyboard"/>
        <s v="Office Chair"/>
      </sharedItems>
    </cacheField>
    <cacheField name="Category" numFmtId="0">
      <sharedItems count="3">
        <s v="Furniture"/>
        <s v="Electronics"/>
        <s v="Accessories"/>
      </sharedItems>
    </cacheField>
    <cacheField name="Subcategory" numFmtId="0">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1800" maxValue="78000"/>
    </cacheField>
    <cacheField name="Discount_%" numFmtId="0">
      <sharedItems containsSemiMixedTypes="0" containsString="0" containsNumber="1" minValue="0" maxValue="0.2"/>
    </cacheField>
    <cacheField name="Gross_Sales" numFmtId="0">
      <sharedItems containsSemiMixedTypes="0" containsString="0" containsNumber="1" containsInteger="1" minValue="1800" maxValue="624000"/>
    </cacheField>
    <cacheField name="Discount_Amount" numFmtId="0">
      <sharedItems containsSemiMixedTypes="0" containsString="0" containsNumber="1" containsInteger="1" minValue="0" maxValue="99200"/>
    </cacheField>
    <cacheField name="Net_Sales" numFmtId="0">
      <sharedItems containsSemiMixedTypes="0" containsString="0" containsNumber="1" containsInteger="1" minValue="-530400" maxValue="546000" count="181">
        <n v="-104500"/>
        <n v="0"/>
        <n v="331500"/>
        <n v="154000"/>
        <n v="82650"/>
        <n v="-71200"/>
        <n v="14280"/>
        <n v="-14500"/>
        <n v="5130"/>
        <n v="-8900"/>
        <n v="372000"/>
        <n v="39600"/>
        <n v="6400"/>
        <n v="56250"/>
        <n v="112200"/>
        <n v="65250"/>
        <n v="-29700"/>
        <n v="44550"/>
        <n v="12240"/>
        <n v="78000"/>
        <n v="-60000"/>
        <n v="-468000"/>
        <n v="279000"/>
        <n v="78750"/>
        <n v="-176700"/>
        <n v="116000"/>
        <n v="6120"/>
        <n v="3780"/>
        <n v="21000"/>
        <n v="23750"/>
        <n v="99000"/>
        <n v="62500"/>
        <n v="86275"/>
        <n v="74100"/>
        <n v="53400"/>
        <n v="58900"/>
        <n v="518700"/>
        <n v="16020"/>
        <n v="100000"/>
        <n v="41800"/>
        <n v="-32040"/>
        <n v="12600"/>
        <n v="-19040"/>
        <n v="15200"/>
        <n v="62000"/>
        <n v="68875"/>
        <n v="-62500"/>
        <n v="10080"/>
        <n v="6840"/>
        <n v="27550"/>
        <n v="11600"/>
        <n v="3570"/>
        <n v="93500"/>
        <n v="20160"/>
        <n v="35600"/>
        <n v="546000"/>
        <n v="101500"/>
        <n v="11875"/>
        <n v="-91350"/>
        <n v="11340"/>
        <n v="60000"/>
        <n v="132000"/>
        <n v="-23940"/>
        <n v="-491400"/>
        <n v="60520"/>
        <n v="21360"/>
        <n v="471200"/>
        <n v="7200"/>
        <n v="-19200"/>
        <n v="50000"/>
        <n v="9000"/>
        <n v="156000"/>
        <n v="140800"/>
        <n v="92400"/>
        <n v="62700"/>
        <n v="66000"/>
        <n v="-6400"/>
        <n v="11520"/>
        <n v="28480"/>
        <n v="7980"/>
        <n v="312000"/>
        <n v="8900"/>
        <n v="-59185"/>
        <n v="74375"/>
        <n v="5760"/>
        <n v="-12800"/>
        <n v="12160"/>
        <n v="83125"/>
        <n v="14400"/>
        <n v="71200"/>
        <n v="16500"/>
        <n v="105600"/>
        <n v="9600"/>
        <n v="16000"/>
        <n v="70000"/>
        <n v="-17800"/>
        <n v="22000"/>
        <n v="351000"/>
        <n v="43500"/>
        <n v="49840"/>
        <n v="-9720"/>
        <n v="20900"/>
        <n v="-8010"/>
        <n v="87000"/>
        <n v="-16000"/>
        <n v="-1800"/>
        <n v="7680"/>
        <n v="496000"/>
        <n v="353400"/>
        <n v="26100"/>
        <n v="26460"/>
        <n v="25600"/>
        <n v="99200"/>
        <n v="63750"/>
        <n v="16800"/>
        <n v="62300"/>
        <n v="396800"/>
        <n v="7565"/>
        <n v="-156000"/>
        <n v="1800"/>
        <n v="-7200"/>
        <n v="47500"/>
        <n v="110000"/>
        <n v="12960"/>
        <n v="24650"/>
        <n v="49500"/>
        <n v="-39150"/>
        <n v="17800"/>
        <n v="148200"/>
        <n v="-82500"/>
        <n v="15130"/>
        <n v="468000"/>
        <n v="-110200"/>
        <n v="49600"/>
        <n v="-60520"/>
        <n v="74800"/>
        <n v="26880"/>
        <n v="8100"/>
        <n v="29700"/>
        <n v="7120"/>
        <n v="-8160"/>
        <n v="-61625"/>
        <n v="78375"/>
        <n v="74250"/>
        <n v="78300"/>
        <n v="-28050"/>
        <n v="11970"/>
        <n v="1530"/>
        <n v="-6480"/>
        <n v="-118800"/>
        <n v="390600"/>
        <n v="52800"/>
        <n v="72500"/>
        <n v="-530400"/>
        <n v="26400"/>
        <n v="22695"/>
        <n v="87500"/>
        <n v="33000"/>
        <n v="52955"/>
        <n v="-248000"/>
        <n v="397800"/>
        <n v="-104400"/>
        <n v="-23520"/>
        <n v="7560"/>
        <n v="-125400"/>
        <n v="125400"/>
        <n v="464100"/>
        <n v="115500"/>
        <n v="3600"/>
        <n v="24030"/>
        <n v="28560"/>
        <n v="6080"/>
        <n v="-20160"/>
        <n v="48060"/>
        <n v="17850"/>
        <n v="95000"/>
        <n v="2880"/>
        <n v="33820"/>
        <n v="-3060"/>
        <n v="-59400"/>
        <n v="-23040"/>
      </sharedItems>
    </cacheField>
    <cacheField name="Cost" numFmtId="0">
      <sharedItems containsSemiMixedTypes="0" containsString="0" containsNumber="1" minValue="1125.29" maxValue="448716.97"/>
    </cacheField>
    <cacheField name="Profit" numFmtId="0">
      <sharedItems containsSemiMixedTypes="0" containsString="0" containsNumber="1" minValue="-105733.7" maxValue="212365.73" count="240">
        <n v="-38618.620000000003"/>
        <n v="0"/>
        <n v="91272.59"/>
        <n v="56375.06"/>
        <n v="23450.49"/>
        <n v="-15172.26"/>
        <n v="5242.87"/>
        <n v="-2665.9"/>
        <n v="1289.44"/>
        <n v="-3270.99"/>
        <n v="110336.14"/>
        <n v="12355.94"/>
        <n v="2658.91"/>
        <n v="21195.25"/>
        <n v="29027.75"/>
        <n v="16504.509999999998"/>
        <n v="-7788.24"/>
        <n v="13162.24"/>
        <n v="4774.1099999999997"/>
        <n v="19401.560000000001"/>
        <n v="-15532.67"/>
        <n v="-85495.64"/>
        <n v="59315.59"/>
        <n v="22542.28"/>
        <n v="-48979.37"/>
        <n v="40550.559999999998"/>
        <n v="1283.19"/>
        <n v="795.31"/>
        <n v="4736.66"/>
        <n v="6507.7"/>
        <n v="30842.53"/>
        <n v="22174.27"/>
        <n v="22090.52"/>
        <n v="27286.799999999999"/>
        <n v="22066.75"/>
        <n v="18451.21"/>
        <n v="212365.73"/>
        <n v="6088.76"/>
        <n v="24661.35"/>
        <n v="16714.560000000001"/>
        <n v="-8928.6200000000008"/>
        <n v="2370.21"/>
        <n v="-5272.74"/>
        <n v="4637.6499999999996"/>
        <n v="5187.01"/>
        <n v="21511.05"/>
        <n v="38546.620000000003"/>
        <n v="24490.74"/>
        <n v="-22550.59"/>
        <n v="2337.21"/>
        <n v="2705.01"/>
        <n v="5987.64"/>
        <n v="4644.88"/>
        <n v="1221.6600000000001"/>
        <n v="19692.599999999999"/>
        <n v="6138.2"/>
        <n v="8232.0300000000007"/>
        <n v="106938.78"/>
        <n v="38260.769999999997"/>
        <n v="3907.05"/>
        <n v="-37726.99"/>
        <n v="4685.08"/>
        <n v="2052.17"/>
        <n v="11561.33"/>
        <n v="51147.69"/>
        <n v="-7676.52"/>
        <n v="-99674.97"/>
        <n v="21377.74"/>
        <n v="6315.94"/>
        <n v="92678.79"/>
        <n v="1883.46"/>
        <n v="-4429.93"/>
        <n v="19318.37"/>
        <n v="3676.86"/>
        <n v="38117.379999999997"/>
        <n v="35081.42"/>
        <n v="18926.64"/>
        <n v="2757.64"/>
        <n v="16040.54"/>
        <n v="17248.849999999999"/>
        <n v="170779.78"/>
        <n v="-2319.5700000000002"/>
        <n v="4521.07"/>
        <n v="46141.919999999998"/>
        <n v="9745.06"/>
        <n v="8326.77"/>
        <n v="2514.75"/>
        <n v="120591.4"/>
        <n v="2304.35"/>
        <n v="6843.65"/>
        <n v="-23239.99"/>
        <n v="30582.46"/>
        <n v="1444.62"/>
        <n v="-3596.76"/>
        <n v="4583.5200000000004"/>
        <n v="23568.34"/>
        <n v="4504.7299999999996"/>
        <n v="24252.42"/>
        <n v="23733.1"/>
        <n v="2542.0100000000002"/>
        <n v="5879.14"/>
        <n v="10271.39"/>
        <n v="32852.28"/>
        <n v="2855.85"/>
        <n v="5906.66"/>
        <n v="13033.01"/>
        <n v="-6657.53"/>
        <n v="4039.3"/>
        <n v="4247.03"/>
        <n v="6932.17"/>
        <n v="75525.539999999994"/>
        <n v="10749.93"/>
        <n v="20317.419999999998"/>
        <n v="-3742.81"/>
        <n v="10598.61"/>
        <n v="7228.73"/>
        <n v="-3265.85"/>
        <n v="26986.35"/>
        <n v="-5037.37"/>
        <n v="9972.6299999999992"/>
        <n v="-674.71"/>
        <n v="74614.570000000007"/>
        <n v="2831.24"/>
        <n v="182709.21"/>
        <n v="101114.93"/>
        <n v="3934.05"/>
        <n v="7105.55"/>
        <n v="14925.85"/>
        <n v="15028.05"/>
        <n v="5627.49"/>
        <n v="55531.96"/>
        <n v="8209.5300000000007"/>
        <n v="24074.74"/>
        <n v="11821.86"/>
        <n v="8192.01"/>
        <n v="5124.3500000000004"/>
        <n v="17691.91"/>
        <n v="25773.33"/>
        <n v="13652.06"/>
        <n v="117386.77"/>
        <n v="2337.81"/>
        <n v="-45390.97"/>
        <n v="324.61"/>
        <n v="3007.76"/>
        <n v="-2258.27"/>
        <n v="13034.07"/>
        <n v="24847.31"/>
        <n v="4383.47"/>
        <n v="4746.07"/>
        <n v="15437.79"/>
        <n v="-9417.2800000000007"/>
        <n v="1519.95"/>
        <n v="5846.81"/>
        <n v="47448.59"/>
        <n v="-30283.73"/>
        <n v="4068.96"/>
        <n v="141798.39000000001"/>
        <n v="-21837.84"/>
        <n v="14696.97"/>
        <n v="2631.33"/>
        <n v="-21355.51"/>
        <n v="21781.88"/>
        <n v="2318.3000000000002"/>
        <n v="17317.3"/>
        <n v="7658.06"/>
        <n v="1779.3"/>
        <n v="3083.95"/>
        <n v="6062.33"/>
        <n v="3804.03"/>
        <n v="1504.82"/>
        <n v="-3113.59"/>
        <n v="29135.47"/>
        <n v="-13929.23"/>
        <n v="27889.119999999999"/>
        <n v="22176.080000000002"/>
        <n v="26978.07"/>
        <n v="-7465.87"/>
        <n v="33598.65"/>
        <n v="31064.9"/>
        <n v="17348.349999999999"/>
        <n v="4589.55"/>
        <n v="294.47000000000003"/>
        <n v="12294.62"/>
        <n v="97633.85"/>
        <n v="26876.2"/>
        <n v="-1407.21"/>
        <n v="-26982"/>
        <n v="87334.02"/>
        <n v="21525.23"/>
        <n v="28563.8"/>
        <n v="5229.22"/>
        <n v="-105733.7"/>
        <n v="10239.31"/>
        <n v="21145.81"/>
        <n v="5261.15"/>
        <n v="3395.53"/>
        <n v="7931.81"/>
        <n v="22264.94"/>
        <n v="6219.41"/>
        <n v="-5130.46"/>
        <n v="45205.760000000002"/>
        <n v="20789.3"/>
        <n v="132463.04999999999"/>
        <n v="-101138.44"/>
        <n v="-1655.19"/>
        <n v="145941.63"/>
        <n v="8437.91"/>
        <n v="-24944.61"/>
        <n v="106091.56"/>
        <n v="-4340.01"/>
        <n v="4981.12"/>
        <n v="1638.16"/>
        <n v="-44796.04"/>
        <n v="11909.78"/>
        <n v="36515.760000000002"/>
        <n v="29693.9"/>
        <n v="109595.9"/>
        <n v="27105.52"/>
        <n v="1283.5"/>
        <n v="29512.34"/>
        <n v="4528.26"/>
        <n v="9412.2900000000009"/>
        <n v="11983.91"/>
        <n v="1415.25"/>
        <n v="-8153"/>
        <n v="9808.69"/>
        <n v="34410.080000000002"/>
        <n v="5422.77"/>
        <n v="39155.81"/>
        <n v="576.37"/>
        <n v="8815.17"/>
        <n v="4363.49"/>
        <n v="5624.17"/>
        <n v="6533.52"/>
        <n v="60724.67"/>
        <n v="3589.64"/>
        <n v="-818.87"/>
        <n v="5498.75"/>
        <n v="-11901.96"/>
        <n v="-6778.91"/>
      </sharedItems>
    </cacheField>
    <cacheField name="Sales_Channel" numFmtId="0">
      <sharedItems/>
    </cacheField>
    <cacheField name="Sales_Rep" numFmtId="0">
      <sharedItems/>
    </cacheField>
    <cacheField name="Payment_Method" numFmtId="0">
      <sharedItems/>
    </cacheField>
    <cacheField name="Order_Status" numFmtId="0">
      <sharedItems/>
    </cacheField>
    <cacheField name="Days (Order_Date)" numFmtId="0" databaseField="0">
      <fieldGroup base="1">
        <rangePr groupBy="days" startDate="2025-01-01T00:00:00" endDate="2025-12-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5"/>
        </groupItems>
      </fieldGroup>
    </cacheField>
    <cacheField name="Months (Order_Date)" numFmtId="0" databaseField="0">
      <fieldGroup base="1">
        <rangePr groupBy="months" startDate="2025-01-01T00:00:00" endDate="2025-12-30T00:00:00"/>
        <groupItems count="14">
          <s v="&lt;01-01-2025"/>
          <s v="Jan"/>
          <s v="Feb"/>
          <s v="Mar"/>
          <s v="Apr"/>
          <s v="May"/>
          <s v="Jun"/>
          <s v="Jul"/>
          <s v="Aug"/>
          <s v="Sep"/>
          <s v="Oct"/>
          <s v="Nov"/>
          <s v="Dec"/>
          <s v="&gt;30-1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ini Thonduru" refreshedDate="46288.735036458333" createdVersion="8" refreshedVersion="8" minRefreshableVersion="3" recordCount="300" xr:uid="{9E7746AD-AF17-4611-AD3A-727AD1666B3E}">
  <cacheSource type="worksheet">
    <worksheetSource name="Table5"/>
  </cacheSource>
  <cacheFields count="26">
    <cacheField name="Order_ID" numFmtId="0">
      <sharedItems/>
    </cacheField>
    <cacheField name="Order_Date" numFmtId="14">
      <sharedItems containsSemiMixedTypes="0" containsNonDate="0" containsDate="1" containsString="0" minDate="2025-01-01T00:00:00" maxDate="2025-12-30T00:00:00" count="210">
        <d v="2025-01-01T00:00:00"/>
        <d v="2025-01-04T00:00:00"/>
        <d v="2025-01-05T00:00:00"/>
        <d v="2025-01-08T00:00:00"/>
        <d v="2025-01-09T00:00:00"/>
        <d v="2025-01-10T00:00:00"/>
        <d v="2025-01-11T00:00:00"/>
        <d v="2025-01-13T00:00:00"/>
        <d v="2025-01-15T00:00:00"/>
        <d v="2025-01-17T00:00:00"/>
        <d v="2025-01-18T00:00:00"/>
        <d v="2025-01-20T00:00:00"/>
        <d v="2025-01-21T00:00:00"/>
        <d v="2025-01-23T00:00:00"/>
        <d v="2025-01-24T00:00:00"/>
        <d v="2025-01-25T00:00:00"/>
        <d v="2025-01-26T00:00:00"/>
        <d v="2025-01-28T00:00:00"/>
        <d v="2025-01-30T00:00:00"/>
        <d v="2025-01-31T00:00:00"/>
        <d v="2025-02-02T00:00:00"/>
        <d v="2025-02-03T00:00:00"/>
        <d v="2025-02-04T00:00:00"/>
        <d v="2025-02-07T00:00:00"/>
        <d v="2025-02-08T00:00:00"/>
        <d v="2025-02-09T00:00:00"/>
        <d v="2025-02-10T00:00:00"/>
        <d v="2025-02-11T00:00:00"/>
        <d v="2025-02-16T00:00:00"/>
        <d v="2025-02-17T00:00:00"/>
        <d v="2025-02-20T00:00:00"/>
        <d v="2025-02-21T00:00:00"/>
        <d v="2025-02-22T00:00:00"/>
        <d v="2025-02-24T00:00:00"/>
        <d v="2025-02-28T00:00:00"/>
        <d v="2025-03-02T00:00:00"/>
        <d v="2025-03-03T00:00:00"/>
        <d v="2025-03-07T00:00:00"/>
        <d v="2025-03-09T00:00:00"/>
        <d v="2025-03-12T00:00:00"/>
        <d v="2025-03-13T00:00:00"/>
        <d v="2025-03-15T00:00:00"/>
        <d v="2025-03-20T00:00:00"/>
        <d v="2025-03-21T00:00:00"/>
        <d v="2025-03-22T00:00:00"/>
        <d v="2025-03-24T00:00:00"/>
        <d v="2025-03-26T00:00:00"/>
        <d v="2025-03-27T00:00:00"/>
        <d v="2025-03-31T00:00:00"/>
        <d v="2025-04-01T00:00:00"/>
        <d v="2025-04-04T00:00:00"/>
        <d v="2025-04-06T00:00:00"/>
        <d v="2025-04-07T00:00:00"/>
        <d v="2025-04-08T00:00:00"/>
        <d v="2025-04-10T00:00:00"/>
        <d v="2025-04-11T00:00:00"/>
        <d v="2025-04-15T00:00:00"/>
        <d v="2025-04-16T00:00:00"/>
        <d v="2025-04-22T00:00:00"/>
        <d v="2025-04-23T00:00:00"/>
        <d v="2025-04-24T00:00:00"/>
        <d v="2025-04-27T00:00:00"/>
        <d v="2025-04-30T00:00:00"/>
        <d v="2025-05-02T00:00:00"/>
        <d v="2025-05-03T00:00:00"/>
        <d v="2025-05-04T00:00:00"/>
        <d v="2025-05-05T00:00:00"/>
        <d v="2025-05-07T00:00:00"/>
        <d v="2025-05-09T00:00:00"/>
        <d v="2025-05-14T00:00:00"/>
        <d v="2025-05-16T00:00:00"/>
        <d v="2025-05-17T00:00:00"/>
        <d v="2025-05-19T00:00:00"/>
        <d v="2025-05-20T00:00:00"/>
        <d v="2025-05-21T00:00:00"/>
        <d v="2025-05-22T00:00:00"/>
        <d v="2025-05-24T00:00:00"/>
        <d v="2025-05-28T00:00:00"/>
        <d v="2025-05-30T00:00:00"/>
        <d v="2025-06-01T00:00:00"/>
        <d v="2025-06-02T00:00:00"/>
        <d v="2025-06-03T00:00:00"/>
        <d v="2025-06-08T00:00:00"/>
        <d v="2025-06-10T00:00:00"/>
        <d v="2025-06-15T00:00:00"/>
        <d v="2025-06-17T00:00:00"/>
        <d v="2025-06-19T00:00:00"/>
        <d v="2025-06-20T00:00:00"/>
        <d v="2025-06-21T00:00:00"/>
        <d v="2025-06-22T00:00:00"/>
        <d v="2025-06-23T00:00:00"/>
        <d v="2025-06-25T00:00:00"/>
        <d v="2025-06-26T00:00:00"/>
        <d v="2025-06-27T00:00:00"/>
        <d v="2025-06-30T00:00:00"/>
        <d v="2025-07-01T00:00:00"/>
        <d v="2025-07-02T00:00:00"/>
        <d v="2025-07-03T00:00:00"/>
        <d v="2025-07-05T00:00:00"/>
        <d v="2025-07-06T00:00:00"/>
        <d v="2025-07-07T00:00:00"/>
        <d v="2025-07-09T00:00:00"/>
        <d v="2025-07-13T00:00:00"/>
        <d v="2025-07-14T00:00:00"/>
        <d v="2025-07-16T00:00:00"/>
        <d v="2025-07-18T00:00:00"/>
        <d v="2025-07-21T00:00:00"/>
        <d v="2025-07-23T00:00:00"/>
        <d v="2025-07-29T00:00:00"/>
        <d v="2025-07-31T00:00:00"/>
        <d v="2025-08-01T00:00:00"/>
        <d v="2025-08-03T00:00:00"/>
        <d v="2025-08-04T00:00:00"/>
        <d v="2025-08-05T00:00:00"/>
        <d v="2025-08-06T00:00:00"/>
        <d v="2025-08-09T00:00:00"/>
        <d v="2025-08-10T00:00:00"/>
        <d v="2025-08-11T00:00:00"/>
        <d v="2025-08-14T00:00:00"/>
        <d v="2025-08-15T00:00:00"/>
        <d v="2025-08-16T00:00:00"/>
        <d v="2025-08-18T00:00:00"/>
        <d v="2025-08-19T00:00:00"/>
        <d v="2025-08-21T00:00:00"/>
        <d v="2025-08-22T00:00:00"/>
        <d v="2025-08-23T00:00:00"/>
        <d v="2025-08-24T00:00:00"/>
        <d v="2025-08-25T00:00:00"/>
        <d v="2025-08-26T00:00:00"/>
        <d v="2025-08-28T00:00:00"/>
        <d v="2025-08-29T00:00:00"/>
        <d v="2025-08-31T00:00:00"/>
        <d v="2025-09-01T00:00:00"/>
        <d v="2025-09-02T00:00:00"/>
        <d v="2025-09-04T00:00:00"/>
        <d v="2025-09-05T00:00:00"/>
        <d v="2025-09-07T00:00:00"/>
        <d v="2025-09-08T00:00:00"/>
        <d v="2025-09-09T00:00:00"/>
        <d v="2025-09-11T00:00:00"/>
        <d v="2025-09-12T00:00:00"/>
        <d v="2025-09-13T00:00:00"/>
        <d v="2025-09-14T00:00:00"/>
        <d v="2025-09-15T00:00:00"/>
        <d v="2025-09-16T00:00:00"/>
        <d v="2025-09-17T00:00:00"/>
        <d v="2025-09-18T00:00:00"/>
        <d v="2025-09-19T00:00:00"/>
        <d v="2025-09-21T00:00:00"/>
        <d v="2025-09-22T00:00:00"/>
        <d v="2025-09-23T00:00:00"/>
        <d v="2025-09-25T00:00:00"/>
        <d v="2025-09-27T00:00:00"/>
        <d v="2025-09-29T00:00:00"/>
        <d v="2025-10-01T00:00:00"/>
        <d v="2025-10-03T00:00:00"/>
        <d v="2025-10-05T00:00:00"/>
        <d v="2025-10-10T00:00:00"/>
        <d v="2025-10-11T00:00:00"/>
        <d v="2025-10-12T00:00:00"/>
        <d v="2025-10-13T00:00:00"/>
        <d v="2025-10-16T00:00:00"/>
        <d v="2025-10-17T00:00:00"/>
        <d v="2025-10-20T00:00:00"/>
        <d v="2025-10-21T00:00:00"/>
        <d v="2025-10-23T00:00:00"/>
        <d v="2025-10-25T00:00:00"/>
        <d v="2025-10-26T00:00:00"/>
        <d v="2025-10-27T00:00:00"/>
        <d v="2025-10-30T00:00:00"/>
        <d v="2025-11-01T00:00:00"/>
        <d v="2025-11-02T00:00:00"/>
        <d v="2025-11-03T00:00:00"/>
        <d v="2025-11-05T00:00:00"/>
        <d v="2025-11-06T00:00:00"/>
        <d v="2025-11-07T00:00:00"/>
        <d v="2025-11-08T00:00:00"/>
        <d v="2025-11-09T00:00:00"/>
        <d v="2025-11-11T00:00:00"/>
        <d v="2025-11-12T00:00:00"/>
        <d v="2025-11-13T00:00:00"/>
        <d v="2025-11-14T00:00:00"/>
        <d v="2025-11-15T00:00:00"/>
        <d v="2025-11-18T00:00:00"/>
        <d v="2025-11-21T00:00:00"/>
        <d v="2025-11-25T00:00:00"/>
        <d v="2025-11-27T00:00:00"/>
        <d v="2025-11-28T00:00:00"/>
        <d v="2025-11-29T00:00:00"/>
        <d v="2025-11-30T00:00:00"/>
        <d v="2025-12-01T00:00:00"/>
        <d v="2025-12-02T00:00:00"/>
        <d v="2025-12-05T00:00:00"/>
        <d v="2025-12-06T00:00:00"/>
        <d v="2025-12-07T00:00:00"/>
        <d v="2025-12-08T00:00:00"/>
        <d v="2025-12-10T00:00:00"/>
        <d v="2025-12-11T00:00:00"/>
        <d v="2025-12-13T00:00:00"/>
        <d v="2025-12-17T00:00:00"/>
        <d v="2025-12-19T00:00:00"/>
        <d v="2025-12-20T00:00:00"/>
        <d v="2025-12-21T00:00:00"/>
        <d v="2025-12-22T00:00:00"/>
        <d v="2025-12-23T00:00:00"/>
        <d v="2025-12-24T00:00:00"/>
        <d v="2025-12-25T00:00:00"/>
        <d v="2025-12-26T00:00:00"/>
        <d v="2025-12-27T00:00:00"/>
        <d v="2025-12-29T00:00:00"/>
      </sharedItems>
      <fieldGroup par="25"/>
    </cacheField>
    <cacheField name="Customer_ID" numFmtId="0">
      <sharedItems/>
    </cacheField>
    <cacheField name="Customer_Name" numFmtId="0">
      <sharedItems/>
    </cacheField>
    <cacheField name="City" numFmtId="0">
      <sharedItems/>
    </cacheField>
    <cacheField name="Region" numFmtId="0">
      <sharedItems count="5">
        <s v="North"/>
        <s v="South"/>
        <s v="East"/>
        <s v="West"/>
        <s v="Central"/>
      </sharedItems>
    </cacheField>
    <cacheField name="Customer_Segment" numFmtId="0">
      <sharedItems/>
    </cacheField>
    <cacheField name="Product_ID" numFmtId="0">
      <sharedItems/>
    </cacheField>
    <cacheField name="Product_Name" numFmtId="0">
      <sharedItems/>
    </cacheField>
    <cacheField name="Category" numFmtId="0">
      <sharedItems count="3">
        <s v="Furniture"/>
        <s v="Electronics"/>
        <s v="Accessories"/>
      </sharedItems>
    </cacheField>
    <cacheField name="Subcategory" numFmtId="0">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1800" maxValue="78000"/>
    </cacheField>
    <cacheField name="Discount_%" numFmtId="0">
      <sharedItems containsSemiMixedTypes="0" containsString="0" containsNumber="1" minValue="0" maxValue="0.2"/>
    </cacheField>
    <cacheField name="Gross_Sales" numFmtId="0">
      <sharedItems containsSemiMixedTypes="0" containsString="0" containsNumber="1" containsInteger="1" minValue="1800" maxValue="624000"/>
    </cacheField>
    <cacheField name="Discount_Amount" numFmtId="0">
      <sharedItems containsSemiMixedTypes="0" containsString="0" containsNumber="1" containsInteger="1" minValue="0" maxValue="99200"/>
    </cacheField>
    <cacheField name="Net_Sales" numFmtId="0">
      <sharedItems containsSemiMixedTypes="0" containsString="0" containsNumber="1" containsInteger="1" minValue="-530400" maxValue="546000"/>
    </cacheField>
    <cacheField name="Cost" numFmtId="0">
      <sharedItems containsSemiMixedTypes="0" containsString="0" containsNumber="1" minValue="1125.29" maxValue="448716.97"/>
    </cacheField>
    <cacheField name="Profit" numFmtId="0">
      <sharedItems containsSemiMixedTypes="0" containsString="0" containsNumber="1" minValue="-105733.7" maxValue="212365.73"/>
    </cacheField>
    <cacheField name="Profit Margin %" numFmtId="9">
      <sharedItems containsSemiMixedTypes="0" containsString="0" containsNumber="1" minValue="0" maxValue="0.41774444444444447"/>
    </cacheField>
    <cacheField name="Sales_Channel" numFmtId="0">
      <sharedItems count="3">
        <s v="Partner"/>
        <s v="Retail"/>
        <s v="Online"/>
      </sharedItems>
    </cacheField>
    <cacheField name="Sales_Rep" numFmtId="0">
      <sharedItems/>
    </cacheField>
    <cacheField name="Payment_Method" numFmtId="0">
      <sharedItems/>
    </cacheField>
    <cacheField name="Order_Status" numFmtId="0">
      <sharedItems/>
    </cacheField>
    <cacheField name="Days (Order_Date)" numFmtId="0" databaseField="0">
      <fieldGroup base="1">
        <rangePr groupBy="days" startDate="2025-01-01T00:00:00" endDate="2025-12-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5"/>
        </groupItems>
      </fieldGroup>
    </cacheField>
    <cacheField name="Months (Order_Date)" numFmtId="0" databaseField="0">
      <fieldGroup base="1">
        <rangePr groupBy="months" startDate="2025-01-01T00:00:00" endDate="2025-12-30T00:00:00"/>
        <groupItems count="14">
          <s v="&lt;01-01-2025"/>
          <s v="Jan"/>
          <s v="Feb"/>
          <s v="Mar"/>
          <s v="Apr"/>
          <s v="May"/>
          <s v="Jun"/>
          <s v="Jul"/>
          <s v="Aug"/>
          <s v="Sep"/>
          <s v="Oct"/>
          <s v="Nov"/>
          <s v="Dec"/>
          <s v="&gt;30-1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O10051"/>
    <x v="0"/>
    <s v="C013"/>
    <x v="0"/>
    <s v="Noida"/>
    <x v="0"/>
    <s v="Enterprise"/>
    <x v="0"/>
    <x v="0"/>
    <x v="0"/>
    <s v="Desk"/>
    <n v="5"/>
    <n v="22000"/>
    <n v="0.05"/>
    <n v="110000"/>
    <n v="5500"/>
    <x v="0"/>
    <n v="65881.38"/>
    <x v="0"/>
    <s v="Partner"/>
    <s v="Sanjay"/>
    <s v="Bank Transfer"/>
    <s v="Returned"/>
  </r>
  <r>
    <s v="SO10265"/>
    <x v="1"/>
    <s v="C016"/>
    <x v="1"/>
    <s v="Coimbatore"/>
    <x v="1"/>
    <s v="SMB"/>
    <x v="1"/>
    <x v="1"/>
    <x v="1"/>
    <s v="Premium Laptop"/>
    <n v="7"/>
    <n v="78000"/>
    <n v="0"/>
    <n v="546000"/>
    <n v="0"/>
    <x v="1"/>
    <n v="318871.78999999998"/>
    <x v="1"/>
    <s v="Retail"/>
    <s v="Kavita"/>
    <s v="Bank Transfer"/>
    <s v="Cancelled"/>
  </r>
  <r>
    <s v="SO10229"/>
    <x v="2"/>
    <s v="C010"/>
    <x v="2"/>
    <s v="Kochi"/>
    <x v="1"/>
    <s v="SMB"/>
    <x v="1"/>
    <x v="1"/>
    <x v="1"/>
    <s v="Premium Laptop"/>
    <n v="5"/>
    <n v="78000"/>
    <n v="0.15"/>
    <n v="390000"/>
    <n v="58500"/>
    <x v="2"/>
    <n v="240227.41"/>
    <x v="2"/>
    <s v="Retail"/>
    <s v="Neeraj"/>
    <s v="Net Banking"/>
    <s v="Completed"/>
  </r>
  <r>
    <s v="SO10099"/>
    <x v="3"/>
    <s v="C010"/>
    <x v="2"/>
    <s v="Kochi"/>
    <x v="1"/>
    <s v="SMB"/>
    <x v="0"/>
    <x v="0"/>
    <x v="0"/>
    <s v="Desk"/>
    <n v="7"/>
    <n v="22000"/>
    <n v="0"/>
    <n v="154000"/>
    <n v="0"/>
    <x v="3"/>
    <n v="97624.94"/>
    <x v="3"/>
    <s v="Retail"/>
    <s v="Ravi"/>
    <s v="UPI"/>
    <s v="Completed"/>
  </r>
  <r>
    <s v="SO10231"/>
    <x v="3"/>
    <s v="C009"/>
    <x v="3"/>
    <s v="Chennai"/>
    <x v="1"/>
    <s v="Enterprise"/>
    <x v="2"/>
    <x v="2"/>
    <x v="1"/>
    <s v="Monitor"/>
    <n v="6"/>
    <n v="14500"/>
    <n v="0.05"/>
    <n v="87000"/>
    <n v="4350"/>
    <x v="4"/>
    <n v="59199.51"/>
    <x v="4"/>
    <s v="Online"/>
    <s v="Kavita"/>
    <s v="Net Banking"/>
    <s v="Completed"/>
  </r>
  <r>
    <s v="SO10272"/>
    <x v="4"/>
    <s v="C006"/>
    <x v="4"/>
    <s v="Kolkata"/>
    <x v="2"/>
    <s v="SMB"/>
    <x v="3"/>
    <x v="3"/>
    <x v="2"/>
    <s v="Headset"/>
    <n v="4"/>
    <n v="4200"/>
    <n v="0.15"/>
    <n v="16800"/>
    <n v="2520"/>
    <x v="1"/>
    <n v="8776.57"/>
    <x v="1"/>
    <s v="Retail"/>
    <s v="Ravi"/>
    <s v="Bank Transfer"/>
    <s v="Cancelled"/>
  </r>
  <r>
    <s v="SO10149"/>
    <x v="5"/>
    <s v="C002"/>
    <x v="5"/>
    <s v="Mumbai"/>
    <x v="3"/>
    <s v="SMB"/>
    <x v="4"/>
    <x v="4"/>
    <x v="2"/>
    <s v="Dock"/>
    <n v="8"/>
    <n v="8900"/>
    <n v="0"/>
    <n v="71200"/>
    <n v="0"/>
    <x v="5"/>
    <n v="56027.74"/>
    <x v="5"/>
    <s v="Retail"/>
    <s v="Kavita"/>
    <s v="Net Banking"/>
    <s v="Returned"/>
  </r>
  <r>
    <s v="SO10021"/>
    <x v="6"/>
    <s v="C003"/>
    <x v="6"/>
    <s v="Bengaluru"/>
    <x v="1"/>
    <s v="Enterprise"/>
    <x v="3"/>
    <x v="3"/>
    <x v="2"/>
    <s v="Headset"/>
    <n v="4"/>
    <n v="4200"/>
    <n v="0.15"/>
    <n v="16800"/>
    <n v="2520"/>
    <x v="6"/>
    <n v="9037.1299999999992"/>
    <x v="6"/>
    <s v="Partner"/>
    <s v="Sanjay"/>
    <s v="Credit Card"/>
    <s v="Completed"/>
  </r>
  <r>
    <s v="SO10054"/>
    <x v="7"/>
    <s v="C007"/>
    <x v="7"/>
    <s v="Pune"/>
    <x v="3"/>
    <s v="Mid-Market"/>
    <x v="2"/>
    <x v="2"/>
    <x v="1"/>
    <s v="Monitor"/>
    <n v="1"/>
    <n v="14500"/>
    <n v="0"/>
    <n v="14500"/>
    <n v="0"/>
    <x v="7"/>
    <n v="11834.1"/>
    <x v="7"/>
    <s v="Online"/>
    <s v="Neeraj"/>
    <s v="Net Banking"/>
    <s v="Returned"/>
  </r>
  <r>
    <s v="SO10141"/>
    <x v="8"/>
    <s v="C020"/>
    <x v="8"/>
    <s v="Nagpur"/>
    <x v="4"/>
    <s v="SMB"/>
    <x v="5"/>
    <x v="5"/>
    <x v="2"/>
    <s v="Mouse"/>
    <n v="3"/>
    <n v="1800"/>
    <n v="0.05"/>
    <n v="5400"/>
    <n v="270"/>
    <x v="8"/>
    <n v="3840.56"/>
    <x v="8"/>
    <s v="Retail"/>
    <s v="Amit"/>
    <s v="Credit Card"/>
    <s v="Completed"/>
  </r>
  <r>
    <s v="SO10003"/>
    <x v="9"/>
    <s v="C019"/>
    <x v="9"/>
    <s v="Indore"/>
    <x v="4"/>
    <s v="Mid-Market"/>
    <x v="4"/>
    <x v="4"/>
    <x v="2"/>
    <s v="Dock"/>
    <n v="1"/>
    <n v="8900"/>
    <n v="0"/>
    <n v="8900"/>
    <n v="0"/>
    <x v="9"/>
    <n v="5629.01"/>
    <x v="9"/>
    <s v="Partner"/>
    <s v="Ravi"/>
    <s v="UPI"/>
    <s v="Returned"/>
  </r>
  <r>
    <s v="SO10022"/>
    <x v="9"/>
    <s v="C008"/>
    <x v="10"/>
    <s v="Jaipur"/>
    <x v="0"/>
    <s v="SMB"/>
    <x v="6"/>
    <x v="6"/>
    <x v="1"/>
    <s v="Standard Laptop"/>
    <n v="6"/>
    <n v="62000"/>
    <n v="0"/>
    <n v="372000"/>
    <n v="0"/>
    <x v="10"/>
    <n v="261663.86"/>
    <x v="10"/>
    <s v="Partner"/>
    <s v="Neeraj"/>
    <s v="UPI"/>
    <s v="Completed"/>
  </r>
  <r>
    <s v="SO10189"/>
    <x v="9"/>
    <s v="C013"/>
    <x v="0"/>
    <s v="Noida"/>
    <x v="0"/>
    <s v="Enterprise"/>
    <x v="7"/>
    <x v="7"/>
    <x v="1"/>
    <s v="Camera"/>
    <n v="3"/>
    <n v="16500"/>
    <n v="0.2"/>
    <n v="49500"/>
    <n v="9900"/>
    <x v="11"/>
    <n v="27244.06"/>
    <x v="11"/>
    <s v="Retail"/>
    <s v="Neeraj"/>
    <s v="Credit Card"/>
    <s v="Completed"/>
  </r>
  <r>
    <s v="SO10218"/>
    <x v="9"/>
    <s v="C005"/>
    <x v="11"/>
    <s v="Ahmedabad"/>
    <x v="3"/>
    <s v="Mid-Market"/>
    <x v="8"/>
    <x v="8"/>
    <x v="2"/>
    <s v="Keyboard"/>
    <n v="2"/>
    <n v="3200"/>
    <n v="0"/>
    <n v="6400"/>
    <n v="0"/>
    <x v="12"/>
    <n v="3741.09"/>
    <x v="12"/>
    <s v="Retail"/>
    <s v="Sneha"/>
    <s v="Net Banking"/>
    <s v="Completed"/>
  </r>
  <r>
    <s v="SO10242"/>
    <x v="9"/>
    <s v="C003"/>
    <x v="6"/>
    <s v="Bengaluru"/>
    <x v="1"/>
    <s v="Enterprise"/>
    <x v="9"/>
    <x v="9"/>
    <x v="0"/>
    <s v="Chair"/>
    <n v="5"/>
    <n v="12500"/>
    <n v="0.1"/>
    <n v="62500"/>
    <n v="6250"/>
    <x v="13"/>
    <n v="35054.75"/>
    <x v="13"/>
    <s v="Partner"/>
    <s v="Sanjay"/>
    <s v="Net Banking"/>
    <s v="Completed"/>
  </r>
  <r>
    <s v="SO10247"/>
    <x v="10"/>
    <s v="C004"/>
    <x v="12"/>
    <s v="Hyderabad"/>
    <x v="1"/>
    <s v="SMB"/>
    <x v="7"/>
    <x v="7"/>
    <x v="1"/>
    <s v="Camera"/>
    <n v="8"/>
    <n v="16500"/>
    <n v="0.15"/>
    <n v="132000"/>
    <n v="19800"/>
    <x v="14"/>
    <n v="83172.25"/>
    <x v="14"/>
    <s v="Online"/>
    <s v="Sanjay"/>
    <s v="Credit Card"/>
    <s v="Completed"/>
  </r>
  <r>
    <s v="SO10173"/>
    <x v="11"/>
    <s v="C005"/>
    <x v="11"/>
    <s v="Ahmedabad"/>
    <x v="3"/>
    <s v="Mid-Market"/>
    <x v="2"/>
    <x v="2"/>
    <x v="1"/>
    <s v="Monitor"/>
    <n v="5"/>
    <n v="14500"/>
    <n v="0.1"/>
    <n v="72500"/>
    <n v="7250"/>
    <x v="15"/>
    <n v="48745.49"/>
    <x v="15"/>
    <s v="Partner"/>
    <s v="Neeraj"/>
    <s v="Net Banking"/>
    <s v="Completed"/>
  </r>
  <r>
    <s v="SO10032"/>
    <x v="12"/>
    <s v="C019"/>
    <x v="9"/>
    <s v="Indore"/>
    <x v="4"/>
    <s v="Mid-Market"/>
    <x v="7"/>
    <x v="7"/>
    <x v="1"/>
    <s v="Camera"/>
    <n v="2"/>
    <n v="16500"/>
    <n v="0.1"/>
    <n v="33000"/>
    <n v="3300"/>
    <x v="16"/>
    <n v="21911.759999999998"/>
    <x v="16"/>
    <s v="Partner"/>
    <s v="Amit"/>
    <s v="Bank Transfer"/>
    <s v="Returned"/>
  </r>
  <r>
    <s v="SO10093"/>
    <x v="12"/>
    <s v="C009"/>
    <x v="3"/>
    <s v="Chennai"/>
    <x v="1"/>
    <s v="Enterprise"/>
    <x v="7"/>
    <x v="7"/>
    <x v="1"/>
    <s v="Camera"/>
    <n v="3"/>
    <n v="16500"/>
    <n v="0.1"/>
    <n v="49500"/>
    <n v="4950"/>
    <x v="17"/>
    <n v="31387.759999999998"/>
    <x v="17"/>
    <s v="Retail"/>
    <s v="Sneha"/>
    <s v="Net Banking"/>
    <s v="Completed"/>
  </r>
  <r>
    <s v="SO10006"/>
    <x v="13"/>
    <s v="C020"/>
    <x v="8"/>
    <s v="Nagpur"/>
    <x v="4"/>
    <s v="SMB"/>
    <x v="5"/>
    <x v="5"/>
    <x v="2"/>
    <s v="Mouse"/>
    <n v="8"/>
    <n v="1800"/>
    <n v="0.15"/>
    <n v="14400"/>
    <n v="2160"/>
    <x v="18"/>
    <n v="7465.89"/>
    <x v="18"/>
    <s v="Online"/>
    <s v="Kavita"/>
    <s v="Bank Transfer"/>
    <s v="Completed"/>
  </r>
  <r>
    <s v="SO10213"/>
    <x v="14"/>
    <s v="C017"/>
    <x v="13"/>
    <s v="Chandigarh"/>
    <x v="0"/>
    <s v="Enterprise"/>
    <x v="1"/>
    <x v="1"/>
    <x v="1"/>
    <s v="Premium Laptop"/>
    <n v="1"/>
    <n v="78000"/>
    <n v="0"/>
    <n v="78000"/>
    <n v="0"/>
    <x v="19"/>
    <n v="58598.44"/>
    <x v="19"/>
    <s v="Partner"/>
    <s v="Neeraj"/>
    <s v="UPI"/>
    <s v="Completed"/>
  </r>
  <r>
    <s v="SO10251"/>
    <x v="15"/>
    <s v="C018"/>
    <x v="14"/>
    <s v="Thiruvananthapuram"/>
    <x v="1"/>
    <s v="SMB"/>
    <x v="9"/>
    <x v="9"/>
    <x v="0"/>
    <s v="Chair"/>
    <n v="6"/>
    <n v="12500"/>
    <n v="0.2"/>
    <n v="75000"/>
    <n v="15000"/>
    <x v="20"/>
    <n v="44467.33"/>
    <x v="20"/>
    <s v="Retail"/>
    <s v="Sanjay"/>
    <s v="Net Banking"/>
    <s v="Returned"/>
  </r>
  <r>
    <s v="SO10127"/>
    <x v="16"/>
    <s v="C020"/>
    <x v="8"/>
    <s v="Nagpur"/>
    <x v="4"/>
    <s v="SMB"/>
    <x v="1"/>
    <x v="1"/>
    <x v="1"/>
    <s v="Premium Laptop"/>
    <n v="6"/>
    <n v="78000"/>
    <n v="0"/>
    <n v="468000"/>
    <n v="0"/>
    <x v="21"/>
    <n v="382504.36"/>
    <x v="21"/>
    <s v="Online"/>
    <s v="Ravi"/>
    <s v="UPI"/>
    <s v="Returned"/>
  </r>
  <r>
    <s v="SO10206"/>
    <x v="16"/>
    <s v="C005"/>
    <x v="11"/>
    <s v="Ahmedabad"/>
    <x v="3"/>
    <s v="Mid-Market"/>
    <x v="6"/>
    <x v="6"/>
    <x v="1"/>
    <s v="Standard Laptop"/>
    <n v="5"/>
    <n v="62000"/>
    <n v="0.1"/>
    <n v="310000"/>
    <n v="31000"/>
    <x v="22"/>
    <n v="219684.41"/>
    <x v="22"/>
    <s v="Online"/>
    <s v="Sneha"/>
    <s v="Bank Transfer"/>
    <s v="Completed"/>
  </r>
  <r>
    <s v="SO10082"/>
    <x v="17"/>
    <s v="C009"/>
    <x v="3"/>
    <s v="Chennai"/>
    <x v="1"/>
    <s v="Enterprise"/>
    <x v="1"/>
    <x v="1"/>
    <x v="1"/>
    <s v="Premium Laptop"/>
    <n v="5"/>
    <n v="78000"/>
    <n v="0.2"/>
    <n v="390000"/>
    <n v="78000"/>
    <x v="1"/>
    <n v="251653.43"/>
    <x v="1"/>
    <s v="Retail"/>
    <s v="Ravi"/>
    <s v="Credit Card"/>
    <s v="Cancelled"/>
  </r>
  <r>
    <s v="SO10253"/>
    <x v="18"/>
    <s v="C005"/>
    <x v="11"/>
    <s v="Ahmedabad"/>
    <x v="3"/>
    <s v="Mid-Market"/>
    <x v="9"/>
    <x v="9"/>
    <x v="0"/>
    <s v="Chair"/>
    <n v="7"/>
    <n v="12500"/>
    <n v="0.1"/>
    <n v="87500"/>
    <n v="8750"/>
    <x v="23"/>
    <n v="56207.72"/>
    <x v="23"/>
    <s v="Retail"/>
    <s v="Sneha"/>
    <s v="Bank Transfer"/>
    <s v="Completed"/>
  </r>
  <r>
    <s v="SO10090"/>
    <x v="19"/>
    <s v="C005"/>
    <x v="11"/>
    <s v="Ahmedabad"/>
    <x v="3"/>
    <s v="Mid-Market"/>
    <x v="6"/>
    <x v="6"/>
    <x v="1"/>
    <s v="Standard Laptop"/>
    <n v="3"/>
    <n v="62000"/>
    <n v="0.05"/>
    <n v="186000"/>
    <n v="9300"/>
    <x v="24"/>
    <n v="127720.63"/>
    <x v="24"/>
    <s v="Retail"/>
    <s v="Neeraj"/>
    <s v="Credit Card"/>
    <s v="Returned"/>
  </r>
  <r>
    <s v="SO10181"/>
    <x v="20"/>
    <s v="C006"/>
    <x v="4"/>
    <s v="Kolkata"/>
    <x v="2"/>
    <s v="SMB"/>
    <x v="2"/>
    <x v="2"/>
    <x v="1"/>
    <s v="Monitor"/>
    <n v="8"/>
    <n v="14500"/>
    <n v="0"/>
    <n v="116000"/>
    <n v="0"/>
    <x v="25"/>
    <n v="75449.440000000002"/>
    <x v="25"/>
    <s v="Online"/>
    <s v="Ravi"/>
    <s v="Bank Transfer"/>
    <s v="Completed"/>
  </r>
  <r>
    <s v="SO10011"/>
    <x v="21"/>
    <s v="C013"/>
    <x v="0"/>
    <s v="Noida"/>
    <x v="0"/>
    <s v="Enterprise"/>
    <x v="5"/>
    <x v="5"/>
    <x v="2"/>
    <s v="Mouse"/>
    <n v="4"/>
    <n v="1800"/>
    <n v="0.15"/>
    <n v="7200"/>
    <n v="1080"/>
    <x v="26"/>
    <n v="4836.8100000000004"/>
    <x v="26"/>
    <s v="Online"/>
    <s v="Sanjay"/>
    <s v="Net Banking"/>
    <s v="Completed"/>
  </r>
  <r>
    <s v="SO10178"/>
    <x v="22"/>
    <s v="C017"/>
    <x v="13"/>
    <s v="Chandigarh"/>
    <x v="0"/>
    <s v="Enterprise"/>
    <x v="3"/>
    <x v="3"/>
    <x v="2"/>
    <s v="Headset"/>
    <n v="1"/>
    <n v="4200"/>
    <n v="0.1"/>
    <n v="4200"/>
    <n v="420"/>
    <x v="27"/>
    <n v="2984.69"/>
    <x v="27"/>
    <s v="Partner"/>
    <s v="Neeraj"/>
    <s v="Bank Transfer"/>
    <s v="Completed"/>
  </r>
  <r>
    <s v="SO10295"/>
    <x v="22"/>
    <s v="C015"/>
    <x v="15"/>
    <s v="Gurugram"/>
    <x v="0"/>
    <s v="Mid-Market"/>
    <x v="3"/>
    <x v="3"/>
    <x v="2"/>
    <s v="Headset"/>
    <n v="5"/>
    <n v="4200"/>
    <n v="0"/>
    <n v="21000"/>
    <n v="0"/>
    <x v="28"/>
    <n v="16263.34"/>
    <x v="28"/>
    <s v="Online"/>
    <s v="Amit"/>
    <s v="Credit Card"/>
    <s v="Completed"/>
  </r>
  <r>
    <s v="SO10133"/>
    <x v="23"/>
    <s v="C016"/>
    <x v="1"/>
    <s v="Coimbatore"/>
    <x v="1"/>
    <s v="SMB"/>
    <x v="9"/>
    <x v="9"/>
    <x v="0"/>
    <s v="Chair"/>
    <n v="2"/>
    <n v="12500"/>
    <n v="0.05"/>
    <n v="25000"/>
    <n v="1250"/>
    <x v="29"/>
    <n v="17242.3"/>
    <x v="29"/>
    <s v="Online"/>
    <s v="Amit"/>
    <s v="Bank Transfer"/>
    <s v="Completed"/>
  </r>
  <r>
    <s v="SO10156"/>
    <x v="23"/>
    <s v="C012"/>
    <x v="16"/>
    <s v="Bhubaneswar"/>
    <x v="2"/>
    <s v="SMB"/>
    <x v="0"/>
    <x v="0"/>
    <x v="0"/>
    <s v="Desk"/>
    <n v="5"/>
    <n v="22000"/>
    <n v="0.1"/>
    <n v="110000"/>
    <n v="11000"/>
    <x v="30"/>
    <n v="68157.47"/>
    <x v="30"/>
    <s v="Retail"/>
    <s v="Amit"/>
    <s v="Credit Card"/>
    <s v="Completed"/>
  </r>
  <r>
    <s v="SO10263"/>
    <x v="24"/>
    <s v="C017"/>
    <x v="13"/>
    <s v="Chandigarh"/>
    <x v="0"/>
    <s v="Enterprise"/>
    <x v="1"/>
    <x v="1"/>
    <x v="1"/>
    <s v="Premium Laptop"/>
    <n v="1"/>
    <n v="78000"/>
    <n v="0"/>
    <n v="78000"/>
    <n v="0"/>
    <x v="1"/>
    <n v="52959.98"/>
    <x v="1"/>
    <s v="Online"/>
    <s v="Ravi"/>
    <s v="UPI"/>
    <s v="Cancelled"/>
  </r>
  <r>
    <s v="SO10059"/>
    <x v="25"/>
    <s v="C009"/>
    <x v="3"/>
    <s v="Chennai"/>
    <x v="1"/>
    <s v="Enterprise"/>
    <x v="9"/>
    <x v="9"/>
    <x v="0"/>
    <s v="Chair"/>
    <n v="5"/>
    <n v="12500"/>
    <n v="0"/>
    <n v="62500"/>
    <n v="0"/>
    <x v="31"/>
    <n v="40325.730000000003"/>
    <x v="31"/>
    <s v="Partner"/>
    <s v="Ravi"/>
    <s v="UPI"/>
    <s v="Completed"/>
  </r>
  <r>
    <s v="SO10110"/>
    <x v="26"/>
    <s v="C006"/>
    <x v="4"/>
    <s v="Kolkata"/>
    <x v="2"/>
    <s v="SMB"/>
    <x v="2"/>
    <x v="2"/>
    <x v="1"/>
    <s v="Monitor"/>
    <n v="7"/>
    <n v="14500"/>
    <n v="0.15"/>
    <n v="101500"/>
    <n v="15225"/>
    <x v="32"/>
    <n v="64184.480000000003"/>
    <x v="32"/>
    <s v="Partner"/>
    <s v="Sneha"/>
    <s v="UPI"/>
    <s v="Completed"/>
  </r>
  <r>
    <s v="SO10174"/>
    <x v="26"/>
    <s v="C020"/>
    <x v="8"/>
    <s v="Nagpur"/>
    <x v="4"/>
    <s v="SMB"/>
    <x v="1"/>
    <x v="1"/>
    <x v="1"/>
    <s v="Premium Laptop"/>
    <n v="1"/>
    <n v="78000"/>
    <n v="0.05"/>
    <n v="78000"/>
    <n v="3900"/>
    <x v="33"/>
    <n v="46813.2"/>
    <x v="33"/>
    <s v="Partner"/>
    <s v="Sanjay"/>
    <s v="Net Banking"/>
    <s v="Completed"/>
  </r>
  <r>
    <s v="SO10172"/>
    <x v="27"/>
    <s v="C008"/>
    <x v="10"/>
    <s v="Jaipur"/>
    <x v="0"/>
    <s v="SMB"/>
    <x v="4"/>
    <x v="4"/>
    <x v="2"/>
    <s v="Dock"/>
    <n v="6"/>
    <n v="8900"/>
    <n v="0"/>
    <n v="53400"/>
    <n v="0"/>
    <x v="34"/>
    <n v="31333.25"/>
    <x v="34"/>
    <s v="Partner"/>
    <s v="Sanjay"/>
    <s v="Bank Transfer"/>
    <s v="Completed"/>
  </r>
  <r>
    <s v="SO10278"/>
    <x v="28"/>
    <s v="C012"/>
    <x v="16"/>
    <s v="Bhubaneswar"/>
    <x v="2"/>
    <s v="SMB"/>
    <x v="6"/>
    <x v="6"/>
    <x v="1"/>
    <s v="Standard Laptop"/>
    <n v="1"/>
    <n v="62000"/>
    <n v="0.05"/>
    <n v="62000"/>
    <n v="3100"/>
    <x v="35"/>
    <n v="40448.79"/>
    <x v="35"/>
    <s v="Online"/>
    <s v="Sneha"/>
    <s v="Credit Card"/>
    <s v="Completed"/>
  </r>
  <r>
    <s v="SO10038"/>
    <x v="29"/>
    <s v="C009"/>
    <x v="3"/>
    <s v="Chennai"/>
    <x v="1"/>
    <s v="Enterprise"/>
    <x v="1"/>
    <x v="1"/>
    <x v="1"/>
    <s v="Premium Laptop"/>
    <n v="7"/>
    <n v="78000"/>
    <n v="0.05"/>
    <n v="546000"/>
    <n v="27300"/>
    <x v="36"/>
    <n v="306334.27"/>
    <x v="36"/>
    <s v="Online"/>
    <s v="Sanjay"/>
    <s v="Bank Transfer"/>
    <s v="Completed"/>
  </r>
  <r>
    <s v="SO10108"/>
    <x v="30"/>
    <s v="C003"/>
    <x v="6"/>
    <s v="Bengaluru"/>
    <x v="1"/>
    <s v="Enterprise"/>
    <x v="4"/>
    <x v="4"/>
    <x v="2"/>
    <s v="Dock"/>
    <n v="2"/>
    <n v="8900"/>
    <n v="0.1"/>
    <n v="17800"/>
    <n v="1780"/>
    <x v="37"/>
    <n v="9931.24"/>
    <x v="37"/>
    <s v="Online"/>
    <s v="Ravi"/>
    <s v="Bank Transfer"/>
    <s v="Completed"/>
  </r>
  <r>
    <s v="SO10105"/>
    <x v="31"/>
    <s v="C004"/>
    <x v="12"/>
    <s v="Hyderabad"/>
    <x v="1"/>
    <s v="SMB"/>
    <x v="9"/>
    <x v="9"/>
    <x v="0"/>
    <s v="Chair"/>
    <n v="8"/>
    <n v="12500"/>
    <n v="0"/>
    <n v="100000"/>
    <n v="0"/>
    <x v="38"/>
    <n v="75338.649999999994"/>
    <x v="38"/>
    <s v="Partner"/>
    <s v="Sneha"/>
    <s v="Credit Card"/>
    <s v="Completed"/>
  </r>
  <r>
    <s v="SO10170"/>
    <x v="32"/>
    <s v="C012"/>
    <x v="16"/>
    <s v="Bhubaneswar"/>
    <x v="2"/>
    <s v="SMB"/>
    <x v="0"/>
    <x v="0"/>
    <x v="0"/>
    <s v="Desk"/>
    <n v="2"/>
    <n v="22000"/>
    <n v="0.05"/>
    <n v="44000"/>
    <n v="2200"/>
    <x v="39"/>
    <n v="25085.439999999999"/>
    <x v="39"/>
    <s v="Retail"/>
    <s v="Neeraj"/>
    <s v="UPI"/>
    <s v="Completed"/>
  </r>
  <r>
    <s v="SO10151"/>
    <x v="33"/>
    <s v="C003"/>
    <x v="6"/>
    <s v="Bengaluru"/>
    <x v="1"/>
    <s v="Enterprise"/>
    <x v="4"/>
    <x v="4"/>
    <x v="2"/>
    <s v="Dock"/>
    <n v="4"/>
    <n v="8900"/>
    <n v="0.1"/>
    <n v="35600"/>
    <n v="3560"/>
    <x v="40"/>
    <n v="23111.38"/>
    <x v="40"/>
    <s v="Online"/>
    <s v="Neeraj"/>
    <s v="Bank Transfer"/>
    <s v="Returned"/>
  </r>
  <r>
    <s v="SO10150"/>
    <x v="34"/>
    <s v="C014"/>
    <x v="17"/>
    <s v="Surat"/>
    <x v="3"/>
    <s v="SMB"/>
    <x v="5"/>
    <x v="5"/>
    <x v="2"/>
    <s v="Mouse"/>
    <n v="7"/>
    <n v="1800"/>
    <n v="0"/>
    <n v="12600"/>
    <n v="0"/>
    <x v="41"/>
    <n v="10229.790000000001"/>
    <x v="41"/>
    <s v="Partner"/>
    <s v="Neeraj"/>
    <s v="Bank Transfer"/>
    <s v="Completed"/>
  </r>
  <r>
    <s v="SO10085"/>
    <x v="35"/>
    <s v="C003"/>
    <x v="6"/>
    <s v="Bengaluru"/>
    <x v="1"/>
    <s v="Enterprise"/>
    <x v="8"/>
    <x v="8"/>
    <x v="2"/>
    <s v="Keyboard"/>
    <n v="7"/>
    <n v="3200"/>
    <n v="0.15"/>
    <n v="22400"/>
    <n v="3360"/>
    <x v="42"/>
    <n v="13767.26"/>
    <x v="42"/>
    <s v="Online"/>
    <s v="Kavita"/>
    <s v="Net Banking"/>
    <s v="Returned"/>
  </r>
  <r>
    <s v="SO10080"/>
    <x v="36"/>
    <s v="C007"/>
    <x v="7"/>
    <s v="Pune"/>
    <x v="3"/>
    <s v="Mid-Market"/>
    <x v="3"/>
    <x v="3"/>
    <x v="2"/>
    <s v="Headset"/>
    <n v="3"/>
    <n v="4200"/>
    <n v="0"/>
    <n v="12600"/>
    <n v="0"/>
    <x v="41"/>
    <n v="7962.35"/>
    <x v="43"/>
    <s v="Retail"/>
    <s v="Sanjay"/>
    <s v="Bank Transfer"/>
    <s v="Completed"/>
  </r>
  <r>
    <s v="SO10064"/>
    <x v="37"/>
    <s v="C006"/>
    <x v="4"/>
    <s v="Kolkata"/>
    <x v="2"/>
    <s v="SMB"/>
    <x v="9"/>
    <x v="9"/>
    <x v="0"/>
    <s v="Chair"/>
    <n v="1"/>
    <n v="12500"/>
    <n v="0.1"/>
    <n v="12500"/>
    <n v="1250"/>
    <x v="1"/>
    <n v="8123.11"/>
    <x v="1"/>
    <s v="Online"/>
    <s v="Ravi"/>
    <s v="Net Banking"/>
    <s v="Cancelled"/>
  </r>
  <r>
    <s v="SO10166"/>
    <x v="38"/>
    <s v="C011"/>
    <x v="18"/>
    <s v="Lucknow"/>
    <x v="0"/>
    <s v="Mid-Market"/>
    <x v="7"/>
    <x v="7"/>
    <x v="1"/>
    <s v="Camera"/>
    <n v="7"/>
    <n v="16500"/>
    <n v="0"/>
    <n v="115500"/>
    <n v="0"/>
    <x v="1"/>
    <n v="71487.490000000005"/>
    <x v="1"/>
    <s v="Partner"/>
    <s v="Sneha"/>
    <s v="Net Banking"/>
    <s v="Cancelled"/>
  </r>
  <r>
    <s v="SO10147"/>
    <x v="39"/>
    <s v="C010"/>
    <x v="2"/>
    <s v="Kochi"/>
    <x v="1"/>
    <s v="SMB"/>
    <x v="8"/>
    <x v="8"/>
    <x v="2"/>
    <s v="Keyboard"/>
    <n v="5"/>
    <n v="3200"/>
    <n v="0.05"/>
    <n v="16000"/>
    <n v="800"/>
    <x v="43"/>
    <n v="10012.99"/>
    <x v="44"/>
    <s v="Retail"/>
    <s v="Sanjay"/>
    <s v="Net Banking"/>
    <s v="Completed"/>
  </r>
  <r>
    <s v="SO10122"/>
    <x v="40"/>
    <s v="C014"/>
    <x v="17"/>
    <s v="Surat"/>
    <x v="3"/>
    <s v="SMB"/>
    <x v="6"/>
    <x v="6"/>
    <x v="1"/>
    <s v="Standard Laptop"/>
    <n v="1"/>
    <n v="62000"/>
    <n v="0"/>
    <n v="62000"/>
    <n v="0"/>
    <x v="44"/>
    <n v="40488.949999999997"/>
    <x v="45"/>
    <s v="Online"/>
    <s v="Ravi"/>
    <s v="UPI"/>
    <s v="Completed"/>
  </r>
  <r>
    <s v="SO10214"/>
    <x v="40"/>
    <s v="C020"/>
    <x v="8"/>
    <s v="Nagpur"/>
    <x v="4"/>
    <s v="SMB"/>
    <x v="0"/>
    <x v="0"/>
    <x v="0"/>
    <s v="Desk"/>
    <n v="6"/>
    <n v="22000"/>
    <n v="0.15"/>
    <n v="132000"/>
    <n v="19800"/>
    <x v="14"/>
    <n v="73653.38"/>
    <x v="46"/>
    <s v="Partner"/>
    <s v="Sanjay"/>
    <s v="Bank Transfer"/>
    <s v="Completed"/>
  </r>
  <r>
    <s v="SO10281"/>
    <x v="40"/>
    <s v="C013"/>
    <x v="0"/>
    <s v="Noida"/>
    <x v="0"/>
    <s v="Enterprise"/>
    <x v="2"/>
    <x v="2"/>
    <x v="1"/>
    <s v="Monitor"/>
    <n v="5"/>
    <n v="14500"/>
    <n v="0.05"/>
    <n v="72500"/>
    <n v="3625"/>
    <x v="45"/>
    <n v="44384.26"/>
    <x v="47"/>
    <s v="Online"/>
    <s v="Sneha"/>
    <s v="Net Banking"/>
    <s v="Completed"/>
  </r>
  <r>
    <s v="SO10012"/>
    <x v="41"/>
    <s v="C013"/>
    <x v="0"/>
    <s v="Noida"/>
    <x v="0"/>
    <s v="Enterprise"/>
    <x v="9"/>
    <x v="9"/>
    <x v="0"/>
    <s v="Chair"/>
    <n v="5"/>
    <n v="12500"/>
    <n v="0"/>
    <n v="62500"/>
    <n v="0"/>
    <x v="46"/>
    <n v="39949.410000000003"/>
    <x v="48"/>
    <s v="Partner"/>
    <s v="Amit"/>
    <s v="Net Banking"/>
    <s v="Returned"/>
  </r>
  <r>
    <s v="SO10277"/>
    <x v="42"/>
    <s v="C003"/>
    <x v="6"/>
    <s v="Bengaluru"/>
    <x v="1"/>
    <s v="Enterprise"/>
    <x v="5"/>
    <x v="5"/>
    <x v="2"/>
    <s v="Mouse"/>
    <n v="7"/>
    <n v="1800"/>
    <n v="0.2"/>
    <n v="12600"/>
    <n v="2520"/>
    <x v="47"/>
    <n v="7742.79"/>
    <x v="49"/>
    <s v="Partner"/>
    <s v="Neeraj"/>
    <s v="Bank Transfer"/>
    <s v="Completed"/>
  </r>
  <r>
    <s v="SO10005"/>
    <x v="43"/>
    <s v="C011"/>
    <x v="18"/>
    <s v="Lucknow"/>
    <x v="0"/>
    <s v="Mid-Market"/>
    <x v="5"/>
    <x v="5"/>
    <x v="2"/>
    <s v="Mouse"/>
    <n v="4"/>
    <n v="1800"/>
    <n v="0.05"/>
    <n v="7200"/>
    <n v="360"/>
    <x v="48"/>
    <n v="4134.99"/>
    <x v="50"/>
    <s v="Online"/>
    <s v="Amit"/>
    <s v="Bank Transfer"/>
    <s v="Completed"/>
  </r>
  <r>
    <s v="SO10165"/>
    <x v="43"/>
    <s v="C008"/>
    <x v="10"/>
    <s v="Jaipur"/>
    <x v="0"/>
    <s v="SMB"/>
    <x v="2"/>
    <x v="2"/>
    <x v="1"/>
    <s v="Monitor"/>
    <n v="2"/>
    <n v="14500"/>
    <n v="0.05"/>
    <n v="29000"/>
    <n v="1450"/>
    <x v="49"/>
    <n v="21562.36"/>
    <x v="51"/>
    <s v="Partner"/>
    <s v="Kavita"/>
    <s v="Credit Card"/>
    <s v="Completed"/>
  </r>
  <r>
    <s v="SO10144"/>
    <x v="44"/>
    <s v="C002"/>
    <x v="5"/>
    <s v="Mumbai"/>
    <x v="3"/>
    <s v="SMB"/>
    <x v="2"/>
    <x v="2"/>
    <x v="1"/>
    <s v="Monitor"/>
    <n v="1"/>
    <n v="14500"/>
    <n v="0.2"/>
    <n v="14500"/>
    <n v="2900"/>
    <x v="50"/>
    <n v="6955.12"/>
    <x v="52"/>
    <s v="Partner"/>
    <s v="Neeraj"/>
    <s v="Net Banking"/>
    <s v="Completed"/>
  </r>
  <r>
    <s v="SO10017"/>
    <x v="45"/>
    <s v="C005"/>
    <x v="11"/>
    <s v="Ahmedabad"/>
    <x v="3"/>
    <s v="Mid-Market"/>
    <x v="3"/>
    <x v="3"/>
    <x v="2"/>
    <s v="Headset"/>
    <n v="1"/>
    <n v="4200"/>
    <n v="0.15"/>
    <n v="4200"/>
    <n v="630"/>
    <x v="51"/>
    <n v="2348.34"/>
    <x v="53"/>
    <s v="Online"/>
    <s v="Amit"/>
    <s v="Bank Transfer"/>
    <s v="Completed"/>
  </r>
  <r>
    <s v="SO10019"/>
    <x v="46"/>
    <s v="C016"/>
    <x v="1"/>
    <s v="Coimbatore"/>
    <x v="1"/>
    <s v="SMB"/>
    <x v="0"/>
    <x v="0"/>
    <x v="0"/>
    <s v="Desk"/>
    <n v="5"/>
    <n v="22000"/>
    <n v="0.15"/>
    <n v="110000"/>
    <n v="16500"/>
    <x v="52"/>
    <n v="73807.399999999994"/>
    <x v="54"/>
    <s v="Online"/>
    <s v="Kavita"/>
    <s v="UPI"/>
    <s v="Completed"/>
  </r>
  <r>
    <s v="SO10027"/>
    <x v="47"/>
    <s v="C003"/>
    <x v="6"/>
    <s v="Bengaluru"/>
    <x v="1"/>
    <s v="Enterprise"/>
    <x v="8"/>
    <x v="8"/>
    <x v="2"/>
    <s v="Keyboard"/>
    <n v="7"/>
    <n v="3200"/>
    <n v="0.1"/>
    <n v="22400"/>
    <n v="2240"/>
    <x v="53"/>
    <n v="14021.8"/>
    <x v="55"/>
    <s v="Online"/>
    <s v="Sneha"/>
    <s v="Net Banking"/>
    <s v="Completed"/>
  </r>
  <r>
    <s v="SO10117"/>
    <x v="48"/>
    <s v="C011"/>
    <x v="18"/>
    <s v="Lucknow"/>
    <x v="0"/>
    <s v="Mid-Market"/>
    <x v="4"/>
    <x v="4"/>
    <x v="2"/>
    <s v="Dock"/>
    <n v="4"/>
    <n v="8900"/>
    <n v="0"/>
    <n v="35600"/>
    <n v="0"/>
    <x v="54"/>
    <n v="27367.97"/>
    <x v="56"/>
    <s v="Partner"/>
    <s v="Kavita"/>
    <s v="Bank Transfer"/>
    <s v="Completed"/>
  </r>
  <r>
    <s v="SO10228"/>
    <x v="48"/>
    <s v="C018"/>
    <x v="14"/>
    <s v="Thiruvananthapuram"/>
    <x v="1"/>
    <s v="SMB"/>
    <x v="1"/>
    <x v="1"/>
    <x v="1"/>
    <s v="Premium Laptop"/>
    <n v="7"/>
    <n v="78000"/>
    <n v="0"/>
    <n v="546000"/>
    <n v="0"/>
    <x v="55"/>
    <n v="439061.22"/>
    <x v="57"/>
    <s v="Retail"/>
    <s v="Neeraj"/>
    <s v="UPI"/>
    <s v="Completed"/>
  </r>
  <r>
    <s v="SO10042"/>
    <x v="49"/>
    <s v="C008"/>
    <x v="10"/>
    <s v="Jaipur"/>
    <x v="0"/>
    <s v="SMB"/>
    <x v="2"/>
    <x v="2"/>
    <x v="1"/>
    <s v="Monitor"/>
    <n v="7"/>
    <n v="14500"/>
    <n v="0"/>
    <n v="101500"/>
    <n v="0"/>
    <x v="56"/>
    <n v="63239.23"/>
    <x v="58"/>
    <s v="Retail"/>
    <s v="Sanjay"/>
    <s v="UPI"/>
    <s v="Completed"/>
  </r>
  <r>
    <s v="SO10285"/>
    <x v="49"/>
    <s v="C016"/>
    <x v="1"/>
    <s v="Coimbatore"/>
    <x v="1"/>
    <s v="SMB"/>
    <x v="3"/>
    <x v="3"/>
    <x v="2"/>
    <s v="Headset"/>
    <n v="7"/>
    <n v="4200"/>
    <n v="0.05"/>
    <n v="29400"/>
    <n v="1470"/>
    <x v="1"/>
    <n v="18153.04"/>
    <x v="1"/>
    <s v="Partner"/>
    <s v="Neeraj"/>
    <s v="UPI"/>
    <s v="Cancelled"/>
  </r>
  <r>
    <s v="SO10065"/>
    <x v="50"/>
    <s v="C005"/>
    <x v="11"/>
    <s v="Ahmedabad"/>
    <x v="3"/>
    <s v="Mid-Market"/>
    <x v="9"/>
    <x v="9"/>
    <x v="0"/>
    <s v="Chair"/>
    <n v="1"/>
    <n v="12500"/>
    <n v="0.05"/>
    <n v="12500"/>
    <n v="625"/>
    <x v="57"/>
    <n v="7967.95"/>
    <x v="59"/>
    <s v="Retail"/>
    <s v="Amit"/>
    <s v="Bank Transfer"/>
    <s v="Completed"/>
  </r>
  <r>
    <s v="SO10297"/>
    <x v="51"/>
    <s v="C013"/>
    <x v="0"/>
    <s v="Noida"/>
    <x v="0"/>
    <s v="Enterprise"/>
    <x v="2"/>
    <x v="2"/>
    <x v="1"/>
    <s v="Monitor"/>
    <n v="7"/>
    <n v="14500"/>
    <n v="0.1"/>
    <n v="101500"/>
    <n v="10150"/>
    <x v="58"/>
    <n v="53623.01"/>
    <x v="60"/>
    <s v="Online"/>
    <s v="Neeraj"/>
    <s v="Net Banking"/>
    <s v="Returned"/>
  </r>
  <r>
    <s v="SO10103"/>
    <x v="52"/>
    <s v="C015"/>
    <x v="15"/>
    <s v="Gurugram"/>
    <x v="0"/>
    <s v="Mid-Market"/>
    <x v="3"/>
    <x v="3"/>
    <x v="2"/>
    <s v="Headset"/>
    <n v="4"/>
    <n v="4200"/>
    <n v="0.15"/>
    <n v="16800"/>
    <n v="2520"/>
    <x v="6"/>
    <n v="9594.92"/>
    <x v="61"/>
    <s v="Online"/>
    <s v="Amit"/>
    <s v="Net Banking"/>
    <s v="Completed"/>
  </r>
  <r>
    <s v="SO10207"/>
    <x v="53"/>
    <s v="C019"/>
    <x v="9"/>
    <s v="Indore"/>
    <x v="4"/>
    <s v="Mid-Market"/>
    <x v="3"/>
    <x v="3"/>
    <x v="2"/>
    <s v="Headset"/>
    <n v="3"/>
    <n v="4200"/>
    <n v="0.1"/>
    <n v="12600"/>
    <n v="1260"/>
    <x v="59"/>
    <n v="9287.83"/>
    <x v="62"/>
    <s v="Retail"/>
    <s v="Amit"/>
    <s v="Net Banking"/>
    <s v="Completed"/>
  </r>
  <r>
    <s v="SO10168"/>
    <x v="54"/>
    <s v="C010"/>
    <x v="2"/>
    <s v="Kochi"/>
    <x v="1"/>
    <s v="SMB"/>
    <x v="9"/>
    <x v="9"/>
    <x v="0"/>
    <s v="Chair"/>
    <n v="6"/>
    <n v="12500"/>
    <n v="0.2"/>
    <n v="75000"/>
    <n v="15000"/>
    <x v="60"/>
    <n v="48438.67"/>
    <x v="63"/>
    <s v="Retail"/>
    <s v="Amit"/>
    <s v="Net Banking"/>
    <s v="Completed"/>
  </r>
  <r>
    <s v="SO10283"/>
    <x v="55"/>
    <s v="C020"/>
    <x v="8"/>
    <s v="Nagpur"/>
    <x v="4"/>
    <s v="SMB"/>
    <x v="7"/>
    <x v="7"/>
    <x v="1"/>
    <s v="Camera"/>
    <n v="8"/>
    <n v="16500"/>
    <n v="0"/>
    <n v="132000"/>
    <n v="0"/>
    <x v="61"/>
    <n v="80852.31"/>
    <x v="64"/>
    <s v="Retail"/>
    <s v="Amit"/>
    <s v="Net Banking"/>
    <s v="Completed"/>
  </r>
  <r>
    <s v="SO10259"/>
    <x v="56"/>
    <s v="C016"/>
    <x v="1"/>
    <s v="Coimbatore"/>
    <x v="1"/>
    <s v="SMB"/>
    <x v="3"/>
    <x v="3"/>
    <x v="2"/>
    <s v="Headset"/>
    <n v="6"/>
    <n v="4200"/>
    <n v="0.05"/>
    <n v="25200"/>
    <n v="1260"/>
    <x v="62"/>
    <n v="16263.48"/>
    <x v="65"/>
    <s v="Online"/>
    <s v="Sanjay"/>
    <s v="UPI"/>
    <s v="Returned"/>
  </r>
  <r>
    <s v="SO10061"/>
    <x v="57"/>
    <s v="C014"/>
    <x v="17"/>
    <s v="Surat"/>
    <x v="3"/>
    <s v="SMB"/>
    <x v="1"/>
    <x v="1"/>
    <x v="1"/>
    <s v="Premium Laptop"/>
    <n v="7"/>
    <n v="78000"/>
    <n v="0.1"/>
    <n v="546000"/>
    <n v="54600"/>
    <x v="63"/>
    <n v="391725.03"/>
    <x v="66"/>
    <s v="Partner"/>
    <s v="Ravi"/>
    <s v="Net Banking"/>
    <s v="Returned"/>
  </r>
  <r>
    <s v="SO10241"/>
    <x v="58"/>
    <s v="C009"/>
    <x v="3"/>
    <s v="Chennai"/>
    <x v="1"/>
    <s v="Enterprise"/>
    <x v="1"/>
    <x v="1"/>
    <x v="1"/>
    <s v="Premium Laptop"/>
    <n v="2"/>
    <n v="78000"/>
    <n v="0"/>
    <n v="156000"/>
    <n v="0"/>
    <x v="1"/>
    <n v="106343.23"/>
    <x v="1"/>
    <s v="Online"/>
    <s v="Kavita"/>
    <s v="Credit Card"/>
    <s v="Cancelled"/>
  </r>
  <r>
    <s v="SO10004"/>
    <x v="59"/>
    <s v="C018"/>
    <x v="14"/>
    <s v="Thiruvananthapuram"/>
    <x v="1"/>
    <s v="SMB"/>
    <x v="4"/>
    <x v="4"/>
    <x v="2"/>
    <s v="Dock"/>
    <n v="8"/>
    <n v="8900"/>
    <n v="0.15"/>
    <n v="71200"/>
    <n v="10680"/>
    <x v="64"/>
    <n v="39142.26"/>
    <x v="67"/>
    <s v="Online"/>
    <s v="Sanjay"/>
    <s v="Net Banking"/>
    <s v="Completed"/>
  </r>
  <r>
    <s v="SO10056"/>
    <x v="59"/>
    <s v="C004"/>
    <x v="12"/>
    <s v="Hyderabad"/>
    <x v="1"/>
    <s v="SMB"/>
    <x v="4"/>
    <x v="4"/>
    <x v="2"/>
    <s v="Dock"/>
    <n v="3"/>
    <n v="8900"/>
    <n v="0.2"/>
    <n v="26700"/>
    <n v="5340"/>
    <x v="65"/>
    <n v="15044.06"/>
    <x v="68"/>
    <s v="Partner"/>
    <s v="Sneha"/>
    <s v="Credit Card"/>
    <s v="Completed"/>
  </r>
  <r>
    <s v="SO10171"/>
    <x v="60"/>
    <s v="C014"/>
    <x v="17"/>
    <s v="Surat"/>
    <x v="3"/>
    <s v="SMB"/>
    <x v="6"/>
    <x v="6"/>
    <x v="1"/>
    <s v="Standard Laptop"/>
    <n v="8"/>
    <n v="62000"/>
    <n v="0.05"/>
    <n v="496000"/>
    <n v="24800"/>
    <x v="66"/>
    <n v="378521.21"/>
    <x v="69"/>
    <s v="Online"/>
    <s v="Neeraj"/>
    <s v="Bank Transfer"/>
    <s v="Completed"/>
  </r>
  <r>
    <s v="SO10044"/>
    <x v="61"/>
    <s v="C012"/>
    <x v="16"/>
    <s v="Bhubaneswar"/>
    <x v="2"/>
    <s v="SMB"/>
    <x v="5"/>
    <x v="5"/>
    <x v="2"/>
    <s v="Mouse"/>
    <n v="4"/>
    <n v="1800"/>
    <n v="0"/>
    <n v="7200"/>
    <n v="0"/>
    <x v="67"/>
    <n v="5316.54"/>
    <x v="70"/>
    <s v="Retail"/>
    <s v="Amit"/>
    <s v="Credit Card"/>
    <s v="Completed"/>
  </r>
  <r>
    <s v="SO10128"/>
    <x v="62"/>
    <s v="C019"/>
    <x v="9"/>
    <s v="Indore"/>
    <x v="4"/>
    <s v="Mid-Market"/>
    <x v="8"/>
    <x v="8"/>
    <x v="2"/>
    <s v="Keyboard"/>
    <n v="6"/>
    <n v="3200"/>
    <n v="0"/>
    <n v="19200"/>
    <n v="0"/>
    <x v="68"/>
    <n v="14770.07"/>
    <x v="71"/>
    <s v="Online"/>
    <s v="Amit"/>
    <s v="UPI"/>
    <s v="Returned"/>
  </r>
  <r>
    <s v="SO10248"/>
    <x v="62"/>
    <s v="C013"/>
    <x v="0"/>
    <s v="Noida"/>
    <x v="0"/>
    <s v="Enterprise"/>
    <x v="9"/>
    <x v="9"/>
    <x v="0"/>
    <s v="Chair"/>
    <n v="4"/>
    <n v="12500"/>
    <n v="0"/>
    <n v="50000"/>
    <n v="0"/>
    <x v="69"/>
    <n v="30681.63"/>
    <x v="72"/>
    <s v="Online"/>
    <s v="Sanjay"/>
    <s v="Bank Transfer"/>
    <s v="Completed"/>
  </r>
  <r>
    <s v="SO10175"/>
    <x v="63"/>
    <s v="C004"/>
    <x v="12"/>
    <s v="Hyderabad"/>
    <x v="1"/>
    <s v="SMB"/>
    <x v="5"/>
    <x v="5"/>
    <x v="2"/>
    <s v="Mouse"/>
    <n v="5"/>
    <n v="1800"/>
    <n v="0"/>
    <n v="9000"/>
    <n v="0"/>
    <x v="70"/>
    <n v="5323.14"/>
    <x v="73"/>
    <s v="Partner"/>
    <s v="Kavita"/>
    <s v="Net Banking"/>
    <s v="Completed"/>
  </r>
  <r>
    <s v="SO10033"/>
    <x v="64"/>
    <s v="C007"/>
    <x v="7"/>
    <s v="Pune"/>
    <x v="3"/>
    <s v="Mid-Market"/>
    <x v="3"/>
    <x v="3"/>
    <x v="2"/>
    <s v="Headset"/>
    <n v="5"/>
    <n v="4200"/>
    <n v="0.1"/>
    <n v="21000"/>
    <n v="2100"/>
    <x v="1"/>
    <n v="11555.66"/>
    <x v="1"/>
    <s v="Retail"/>
    <s v="Neeraj"/>
    <s v="Bank Transfer"/>
    <s v="Cancelled"/>
  </r>
  <r>
    <s v="SO10018"/>
    <x v="65"/>
    <s v="C008"/>
    <x v="10"/>
    <s v="Jaipur"/>
    <x v="0"/>
    <s v="SMB"/>
    <x v="1"/>
    <x v="1"/>
    <x v="1"/>
    <s v="Premium Laptop"/>
    <n v="2"/>
    <n v="78000"/>
    <n v="0"/>
    <n v="156000"/>
    <n v="0"/>
    <x v="71"/>
    <n v="117882.62"/>
    <x v="74"/>
    <s v="Partner"/>
    <s v="Sneha"/>
    <s v="UPI"/>
    <s v="Completed"/>
  </r>
  <r>
    <s v="SO10077"/>
    <x v="65"/>
    <s v="C016"/>
    <x v="1"/>
    <s v="Coimbatore"/>
    <x v="1"/>
    <s v="SMB"/>
    <x v="0"/>
    <x v="0"/>
    <x v="0"/>
    <s v="Desk"/>
    <n v="8"/>
    <n v="22000"/>
    <n v="0.2"/>
    <n v="176000"/>
    <n v="35200"/>
    <x v="72"/>
    <n v="105718.58"/>
    <x v="75"/>
    <s v="Online"/>
    <s v="Ravi"/>
    <s v="Bank Transfer"/>
    <s v="Completed"/>
  </r>
  <r>
    <s v="SO10273"/>
    <x v="65"/>
    <s v="C006"/>
    <x v="4"/>
    <s v="Kolkata"/>
    <x v="2"/>
    <s v="SMB"/>
    <x v="7"/>
    <x v="7"/>
    <x v="1"/>
    <s v="Camera"/>
    <n v="7"/>
    <n v="16500"/>
    <n v="0.2"/>
    <n v="115500"/>
    <n v="23100"/>
    <x v="73"/>
    <n v="73473.36"/>
    <x v="76"/>
    <s v="Retail"/>
    <s v="Sanjay"/>
    <s v="UPI"/>
    <s v="Completed"/>
  </r>
  <r>
    <s v="SO10288"/>
    <x v="65"/>
    <s v="C005"/>
    <x v="11"/>
    <s v="Ahmedabad"/>
    <x v="3"/>
    <s v="Mid-Market"/>
    <x v="5"/>
    <x v="5"/>
    <x v="2"/>
    <s v="Mouse"/>
    <n v="5"/>
    <n v="1800"/>
    <n v="0.2"/>
    <n v="9000"/>
    <n v="1800"/>
    <x v="67"/>
    <n v="4442.3599999999997"/>
    <x v="77"/>
    <s v="Retail"/>
    <s v="Ravi"/>
    <s v="Net Banking"/>
    <s v="Completed"/>
  </r>
  <r>
    <s v="SO10268"/>
    <x v="66"/>
    <s v="C015"/>
    <x v="15"/>
    <s v="Gurugram"/>
    <x v="0"/>
    <s v="Mid-Market"/>
    <x v="7"/>
    <x v="7"/>
    <x v="1"/>
    <s v="Camera"/>
    <n v="4"/>
    <n v="16500"/>
    <n v="0.05"/>
    <n v="66000"/>
    <n v="3300"/>
    <x v="74"/>
    <n v="46659.46"/>
    <x v="78"/>
    <s v="Partner"/>
    <s v="Sanjay"/>
    <s v="Credit Card"/>
    <s v="Completed"/>
  </r>
  <r>
    <s v="SO10237"/>
    <x v="67"/>
    <s v="C018"/>
    <x v="14"/>
    <s v="Thiruvananthapuram"/>
    <x v="1"/>
    <s v="SMB"/>
    <x v="8"/>
    <x v="8"/>
    <x v="2"/>
    <s v="Keyboard"/>
    <n v="2"/>
    <n v="3200"/>
    <n v="0.15"/>
    <n v="6400"/>
    <n v="960"/>
    <x v="1"/>
    <n v="3738.47"/>
    <x v="1"/>
    <s v="Retail"/>
    <s v="Ravi"/>
    <s v="Credit Card"/>
    <s v="Cancelled"/>
  </r>
  <r>
    <s v="SO10129"/>
    <x v="68"/>
    <s v="C005"/>
    <x v="11"/>
    <s v="Ahmedabad"/>
    <x v="3"/>
    <s v="Mid-Market"/>
    <x v="0"/>
    <x v="0"/>
    <x v="0"/>
    <s v="Desk"/>
    <n v="3"/>
    <n v="22000"/>
    <n v="0"/>
    <n v="66000"/>
    <n v="0"/>
    <x v="75"/>
    <n v="48751.15"/>
    <x v="79"/>
    <s v="Online"/>
    <s v="Ravi"/>
    <s v="Bank Transfer"/>
    <s v="Completed"/>
  </r>
  <r>
    <s v="SO10233"/>
    <x v="69"/>
    <s v="C008"/>
    <x v="10"/>
    <s v="Jaipur"/>
    <x v="0"/>
    <s v="SMB"/>
    <x v="1"/>
    <x v="1"/>
    <x v="1"/>
    <s v="Premium Laptop"/>
    <n v="7"/>
    <n v="78000"/>
    <n v="0"/>
    <n v="546000"/>
    <n v="0"/>
    <x v="55"/>
    <n v="375220.22"/>
    <x v="80"/>
    <s v="Retail"/>
    <s v="Amit"/>
    <s v="Credit Card"/>
    <s v="Completed"/>
  </r>
  <r>
    <s v="SO10028"/>
    <x v="70"/>
    <s v="C001"/>
    <x v="19"/>
    <s v="Delhi"/>
    <x v="0"/>
    <s v="Enterprise"/>
    <x v="4"/>
    <x v="4"/>
    <x v="2"/>
    <s v="Dock"/>
    <n v="8"/>
    <n v="8900"/>
    <n v="0.05"/>
    <n v="71200"/>
    <n v="3560"/>
    <x v="1"/>
    <n v="46098.13"/>
    <x v="1"/>
    <s v="Partner"/>
    <s v="Sanjay"/>
    <s v="Net Banking"/>
    <s v="Cancelled"/>
  </r>
  <r>
    <s v="SO10087"/>
    <x v="70"/>
    <s v="C007"/>
    <x v="7"/>
    <s v="Pune"/>
    <x v="3"/>
    <s v="Mid-Market"/>
    <x v="8"/>
    <x v="8"/>
    <x v="2"/>
    <s v="Keyboard"/>
    <n v="2"/>
    <n v="3200"/>
    <n v="0"/>
    <n v="6400"/>
    <n v="0"/>
    <x v="76"/>
    <n v="4080.43"/>
    <x v="81"/>
    <s v="Online"/>
    <s v="Sneha"/>
    <s v="Credit Card"/>
    <s v="Returned"/>
  </r>
  <r>
    <s v="SO10089"/>
    <x v="70"/>
    <s v="C003"/>
    <x v="6"/>
    <s v="Bengaluru"/>
    <x v="1"/>
    <s v="Enterprise"/>
    <x v="8"/>
    <x v="8"/>
    <x v="2"/>
    <s v="Keyboard"/>
    <n v="4"/>
    <n v="3200"/>
    <n v="0.1"/>
    <n v="12800"/>
    <n v="1280"/>
    <x v="77"/>
    <n v="6998.93"/>
    <x v="82"/>
    <s v="Partner"/>
    <s v="Sneha"/>
    <s v="Bank Transfer"/>
    <s v="Completed"/>
  </r>
  <r>
    <s v="SO10015"/>
    <x v="71"/>
    <s v="C004"/>
    <x v="12"/>
    <s v="Hyderabad"/>
    <x v="1"/>
    <s v="SMB"/>
    <x v="0"/>
    <x v="0"/>
    <x v="0"/>
    <s v="Desk"/>
    <n v="6"/>
    <n v="22000"/>
    <n v="0"/>
    <n v="132000"/>
    <n v="0"/>
    <x v="61"/>
    <n v="85858.08"/>
    <x v="83"/>
    <s v="Retail"/>
    <s v="Ravi"/>
    <s v="Bank Transfer"/>
    <s v="Completed"/>
  </r>
  <r>
    <s v="SO10010"/>
    <x v="72"/>
    <s v="C015"/>
    <x v="15"/>
    <s v="Gurugram"/>
    <x v="0"/>
    <s v="Mid-Market"/>
    <x v="4"/>
    <x v="4"/>
    <x v="2"/>
    <s v="Dock"/>
    <n v="4"/>
    <n v="8900"/>
    <n v="0.2"/>
    <n v="35600"/>
    <n v="7120"/>
    <x v="78"/>
    <n v="18734.939999999999"/>
    <x v="84"/>
    <s v="Online"/>
    <s v="Ravi"/>
    <s v="Bank Transfer"/>
    <s v="Completed"/>
  </r>
  <r>
    <s v="SO10063"/>
    <x v="73"/>
    <s v="C016"/>
    <x v="1"/>
    <s v="Coimbatore"/>
    <x v="1"/>
    <s v="SMB"/>
    <x v="8"/>
    <x v="8"/>
    <x v="2"/>
    <s v="Keyboard"/>
    <n v="7"/>
    <n v="3200"/>
    <n v="0.1"/>
    <n v="22400"/>
    <n v="2240"/>
    <x v="53"/>
    <n v="11833.23"/>
    <x v="85"/>
    <s v="Partner"/>
    <s v="Sanjay"/>
    <s v="Net Banking"/>
    <s v="Completed"/>
  </r>
  <r>
    <s v="SO10183"/>
    <x v="73"/>
    <s v="C002"/>
    <x v="5"/>
    <s v="Mumbai"/>
    <x v="3"/>
    <s v="SMB"/>
    <x v="3"/>
    <x v="3"/>
    <x v="2"/>
    <s v="Headset"/>
    <n v="2"/>
    <n v="4200"/>
    <n v="0.05"/>
    <n v="8400"/>
    <n v="420"/>
    <x v="79"/>
    <n v="5465.25"/>
    <x v="86"/>
    <s v="Partner"/>
    <s v="Neeraj"/>
    <s v="Net Banking"/>
    <s v="Completed"/>
  </r>
  <r>
    <s v="SO10002"/>
    <x v="74"/>
    <s v="C004"/>
    <x v="12"/>
    <s v="Hyderabad"/>
    <x v="1"/>
    <s v="SMB"/>
    <x v="1"/>
    <x v="1"/>
    <x v="1"/>
    <s v="Premium Laptop"/>
    <n v="4"/>
    <n v="78000"/>
    <n v="0"/>
    <n v="312000"/>
    <n v="0"/>
    <x v="80"/>
    <n v="191408.6"/>
    <x v="87"/>
    <s v="Partner"/>
    <s v="Sanjay"/>
    <s v="Credit Card"/>
    <s v="Completed"/>
  </r>
  <r>
    <s v="SO10114"/>
    <x v="74"/>
    <s v="C001"/>
    <x v="19"/>
    <s v="Delhi"/>
    <x v="0"/>
    <s v="Enterprise"/>
    <x v="4"/>
    <x v="4"/>
    <x v="2"/>
    <s v="Dock"/>
    <n v="1"/>
    <n v="8900"/>
    <n v="0.15"/>
    <n v="8900"/>
    <n v="1335"/>
    <x v="1"/>
    <n v="5958.32"/>
    <x v="1"/>
    <s v="Online"/>
    <s v="Kavita"/>
    <s v="Net Banking"/>
    <s v="Cancelled"/>
  </r>
  <r>
    <s v="SO10187"/>
    <x v="74"/>
    <s v="C020"/>
    <x v="8"/>
    <s v="Nagpur"/>
    <x v="4"/>
    <s v="SMB"/>
    <x v="4"/>
    <x v="4"/>
    <x v="2"/>
    <s v="Dock"/>
    <n v="1"/>
    <n v="8900"/>
    <n v="0"/>
    <n v="8900"/>
    <n v="0"/>
    <x v="81"/>
    <n v="6595.65"/>
    <x v="88"/>
    <s v="Retail"/>
    <s v="Kavita"/>
    <s v="UPI"/>
    <s v="Completed"/>
  </r>
  <r>
    <s v="SO10250"/>
    <x v="74"/>
    <s v="C014"/>
    <x v="17"/>
    <s v="Surat"/>
    <x v="3"/>
    <s v="SMB"/>
    <x v="5"/>
    <x v="5"/>
    <x v="2"/>
    <s v="Mouse"/>
    <n v="1"/>
    <n v="1800"/>
    <n v="0.15"/>
    <n v="1800"/>
    <n v="270"/>
    <x v="1"/>
    <n v="1235.7"/>
    <x v="1"/>
    <s v="Online"/>
    <s v="Sanjay"/>
    <s v="Net Banking"/>
    <s v="Cancelled"/>
  </r>
  <r>
    <s v="SO10126"/>
    <x v="75"/>
    <s v="C002"/>
    <x v="5"/>
    <s v="Mumbai"/>
    <x v="3"/>
    <s v="SMB"/>
    <x v="4"/>
    <x v="4"/>
    <x v="2"/>
    <s v="Dock"/>
    <n v="4"/>
    <n v="8900"/>
    <n v="0"/>
    <n v="35600"/>
    <n v="0"/>
    <x v="54"/>
    <n v="28756.35"/>
    <x v="89"/>
    <s v="Online"/>
    <s v="Sanjay"/>
    <s v="UPI"/>
    <s v="Completed"/>
  </r>
  <r>
    <s v="SO10286"/>
    <x v="76"/>
    <s v="C011"/>
    <x v="18"/>
    <s v="Lucknow"/>
    <x v="0"/>
    <s v="Mid-Market"/>
    <x v="4"/>
    <x v="4"/>
    <x v="2"/>
    <s v="Dock"/>
    <n v="7"/>
    <n v="8900"/>
    <n v="0.05"/>
    <n v="62300"/>
    <n v="3115"/>
    <x v="82"/>
    <n v="35945.01"/>
    <x v="90"/>
    <s v="Online"/>
    <s v="Kavita"/>
    <s v="UPI"/>
    <s v="Returned"/>
  </r>
  <r>
    <s v="SO10095"/>
    <x v="77"/>
    <s v="C014"/>
    <x v="17"/>
    <s v="Surat"/>
    <x v="3"/>
    <s v="SMB"/>
    <x v="9"/>
    <x v="9"/>
    <x v="0"/>
    <s v="Chair"/>
    <n v="7"/>
    <n v="12500"/>
    <n v="0.15"/>
    <n v="87500"/>
    <n v="13125"/>
    <x v="83"/>
    <n v="43792.54"/>
    <x v="91"/>
    <s v="Retail"/>
    <s v="Amit"/>
    <s v="Bank Transfer"/>
    <s v="Completed"/>
  </r>
  <r>
    <s v="SO10222"/>
    <x v="77"/>
    <s v="C008"/>
    <x v="10"/>
    <s v="Jaipur"/>
    <x v="0"/>
    <s v="SMB"/>
    <x v="5"/>
    <x v="5"/>
    <x v="2"/>
    <s v="Mouse"/>
    <n v="4"/>
    <n v="1800"/>
    <n v="0.2"/>
    <n v="7200"/>
    <n v="1440"/>
    <x v="84"/>
    <n v="4315.38"/>
    <x v="92"/>
    <s v="Retail"/>
    <s v="Amit"/>
    <s v="Bank Transfer"/>
    <s v="Completed"/>
  </r>
  <r>
    <s v="SO10280"/>
    <x v="78"/>
    <s v="C013"/>
    <x v="0"/>
    <s v="Noida"/>
    <x v="0"/>
    <s v="Enterprise"/>
    <x v="1"/>
    <x v="1"/>
    <x v="1"/>
    <s v="Premium Laptop"/>
    <n v="7"/>
    <n v="78000"/>
    <n v="0.1"/>
    <n v="546000"/>
    <n v="54600"/>
    <x v="1"/>
    <n v="376904.09"/>
    <x v="1"/>
    <s v="Partner"/>
    <s v="Sneha"/>
    <s v="UPI"/>
    <s v="Cancelled"/>
  </r>
  <r>
    <s v="SO10029"/>
    <x v="79"/>
    <s v="C005"/>
    <x v="11"/>
    <s v="Ahmedabad"/>
    <x v="3"/>
    <s v="Mid-Market"/>
    <x v="8"/>
    <x v="8"/>
    <x v="2"/>
    <s v="Keyboard"/>
    <n v="4"/>
    <n v="3200"/>
    <n v="0"/>
    <n v="12800"/>
    <n v="0"/>
    <x v="85"/>
    <n v="9203.24"/>
    <x v="93"/>
    <s v="Online"/>
    <s v="Sanjay"/>
    <s v="Bank Transfer"/>
    <s v="Returned"/>
  </r>
  <r>
    <s v="SO10081"/>
    <x v="79"/>
    <s v="C004"/>
    <x v="12"/>
    <s v="Hyderabad"/>
    <x v="1"/>
    <s v="SMB"/>
    <x v="8"/>
    <x v="8"/>
    <x v="2"/>
    <s v="Keyboard"/>
    <n v="4"/>
    <n v="3200"/>
    <n v="0.05"/>
    <n v="12800"/>
    <n v="640"/>
    <x v="86"/>
    <n v="7576.48"/>
    <x v="94"/>
    <s v="Partner"/>
    <s v="Kavita"/>
    <s v="UPI"/>
    <s v="Completed"/>
  </r>
  <r>
    <s v="SO10086"/>
    <x v="80"/>
    <s v="C015"/>
    <x v="15"/>
    <s v="Gurugram"/>
    <x v="0"/>
    <s v="Mid-Market"/>
    <x v="9"/>
    <x v="9"/>
    <x v="0"/>
    <s v="Chair"/>
    <n v="7"/>
    <n v="12500"/>
    <n v="0.05"/>
    <n v="87500"/>
    <n v="4375"/>
    <x v="87"/>
    <n v="59556.66"/>
    <x v="95"/>
    <s v="Partner"/>
    <s v="Sanjay"/>
    <s v="Credit Card"/>
    <s v="Completed"/>
  </r>
  <r>
    <s v="SO10102"/>
    <x v="80"/>
    <s v="C001"/>
    <x v="19"/>
    <s v="Delhi"/>
    <x v="0"/>
    <s v="Enterprise"/>
    <x v="5"/>
    <x v="5"/>
    <x v="2"/>
    <s v="Mouse"/>
    <n v="8"/>
    <n v="1800"/>
    <n v="0"/>
    <n v="14400"/>
    <n v="0"/>
    <x v="88"/>
    <n v="9895.27"/>
    <x v="96"/>
    <s v="Retail"/>
    <s v="Amit"/>
    <s v="Net Banking"/>
    <s v="Completed"/>
  </r>
  <r>
    <s v="SO10252"/>
    <x v="81"/>
    <s v="C014"/>
    <x v="17"/>
    <s v="Surat"/>
    <x v="3"/>
    <s v="SMB"/>
    <x v="2"/>
    <x v="2"/>
    <x v="1"/>
    <s v="Monitor"/>
    <n v="7"/>
    <n v="14500"/>
    <n v="0"/>
    <n v="101500"/>
    <n v="0"/>
    <x v="56"/>
    <n v="77247.58"/>
    <x v="97"/>
    <s v="Online"/>
    <s v="Sneha"/>
    <s v="Bank Transfer"/>
    <s v="Completed"/>
  </r>
  <r>
    <s v="SO10282"/>
    <x v="81"/>
    <s v="C009"/>
    <x v="3"/>
    <s v="Chennai"/>
    <x v="1"/>
    <s v="Enterprise"/>
    <x v="4"/>
    <x v="4"/>
    <x v="2"/>
    <s v="Dock"/>
    <n v="8"/>
    <n v="8900"/>
    <n v="0"/>
    <n v="71200"/>
    <n v="0"/>
    <x v="89"/>
    <n v="47466.9"/>
    <x v="98"/>
    <s v="Partner"/>
    <s v="Sanjay"/>
    <s v="Net Banking"/>
    <s v="Completed"/>
  </r>
  <r>
    <s v="SO10116"/>
    <x v="82"/>
    <s v="C004"/>
    <x v="12"/>
    <s v="Hyderabad"/>
    <x v="1"/>
    <s v="SMB"/>
    <x v="1"/>
    <x v="1"/>
    <x v="1"/>
    <s v="Premium Laptop"/>
    <n v="8"/>
    <n v="78000"/>
    <n v="0"/>
    <n v="624000"/>
    <n v="0"/>
    <x v="1"/>
    <n v="448716.97"/>
    <x v="1"/>
    <s v="Online"/>
    <s v="Ravi"/>
    <s v="Bank Transfer"/>
    <s v="Cancelled"/>
  </r>
  <r>
    <s v="SO10136"/>
    <x v="83"/>
    <s v="C011"/>
    <x v="18"/>
    <s v="Lucknow"/>
    <x v="0"/>
    <s v="Mid-Market"/>
    <x v="4"/>
    <x v="4"/>
    <x v="2"/>
    <s v="Dock"/>
    <n v="5"/>
    <n v="8900"/>
    <n v="0.05"/>
    <n v="44500"/>
    <n v="2225"/>
    <x v="1"/>
    <n v="34194.65"/>
    <x v="1"/>
    <s v="Retail"/>
    <s v="Ravi"/>
    <s v="Credit Card"/>
    <s v="Cancelled"/>
  </r>
  <r>
    <s v="SO10074"/>
    <x v="84"/>
    <s v="C019"/>
    <x v="9"/>
    <s v="Indore"/>
    <x v="4"/>
    <s v="Mid-Market"/>
    <x v="5"/>
    <x v="5"/>
    <x v="2"/>
    <s v="Mouse"/>
    <n v="4"/>
    <n v="1800"/>
    <n v="0"/>
    <n v="7200"/>
    <n v="0"/>
    <x v="67"/>
    <n v="4657.99"/>
    <x v="99"/>
    <s v="Online"/>
    <s v="Neeraj"/>
    <s v="Net Banking"/>
    <s v="Completed"/>
  </r>
  <r>
    <s v="SO10130"/>
    <x v="84"/>
    <s v="C008"/>
    <x v="10"/>
    <s v="Jaipur"/>
    <x v="0"/>
    <s v="SMB"/>
    <x v="7"/>
    <x v="7"/>
    <x v="1"/>
    <s v="Camera"/>
    <n v="1"/>
    <n v="16500"/>
    <n v="0"/>
    <n v="16500"/>
    <n v="0"/>
    <x v="90"/>
    <n v="10620.86"/>
    <x v="100"/>
    <s v="Partner"/>
    <s v="Neeraj"/>
    <s v="Credit Card"/>
    <s v="Completed"/>
  </r>
  <r>
    <s v="SO10232"/>
    <x v="85"/>
    <s v="C014"/>
    <x v="17"/>
    <s v="Surat"/>
    <x v="3"/>
    <s v="SMB"/>
    <x v="0"/>
    <x v="0"/>
    <x v="0"/>
    <s v="Desk"/>
    <n v="2"/>
    <n v="22000"/>
    <n v="0.1"/>
    <n v="44000"/>
    <n v="4400"/>
    <x v="11"/>
    <n v="29328.61"/>
    <x v="101"/>
    <s v="Online"/>
    <s v="Neeraj"/>
    <s v="Bank Transfer"/>
    <s v="Completed"/>
  </r>
  <r>
    <s v="SO10079"/>
    <x v="86"/>
    <s v="C014"/>
    <x v="17"/>
    <s v="Surat"/>
    <x v="3"/>
    <s v="SMB"/>
    <x v="0"/>
    <x v="0"/>
    <x v="0"/>
    <s v="Desk"/>
    <n v="6"/>
    <n v="22000"/>
    <n v="0.2"/>
    <n v="132000"/>
    <n v="26400"/>
    <x v="91"/>
    <n v="72747.72"/>
    <x v="102"/>
    <s v="Retail"/>
    <s v="Sneha"/>
    <s v="Credit Card"/>
    <s v="Completed"/>
  </r>
  <r>
    <s v="SO10152"/>
    <x v="87"/>
    <s v="C011"/>
    <x v="18"/>
    <s v="Lucknow"/>
    <x v="0"/>
    <s v="Mid-Market"/>
    <x v="8"/>
    <x v="8"/>
    <x v="2"/>
    <s v="Keyboard"/>
    <n v="3"/>
    <n v="3200"/>
    <n v="0"/>
    <n v="9600"/>
    <n v="0"/>
    <x v="92"/>
    <n v="6744.15"/>
    <x v="103"/>
    <s v="Partner"/>
    <s v="Kavita"/>
    <s v="UPI"/>
    <s v="Completed"/>
  </r>
  <r>
    <s v="SO10256"/>
    <x v="87"/>
    <s v="C016"/>
    <x v="1"/>
    <s v="Coimbatore"/>
    <x v="1"/>
    <s v="SMB"/>
    <x v="8"/>
    <x v="8"/>
    <x v="2"/>
    <s v="Keyboard"/>
    <n v="5"/>
    <n v="3200"/>
    <n v="0"/>
    <n v="16000"/>
    <n v="0"/>
    <x v="93"/>
    <n v="10093.34"/>
    <x v="104"/>
    <s v="Partner"/>
    <s v="Ravi"/>
    <s v="Net Banking"/>
    <s v="Completed"/>
  </r>
  <r>
    <s v="SO10284"/>
    <x v="88"/>
    <s v="C011"/>
    <x v="18"/>
    <s v="Lucknow"/>
    <x v="0"/>
    <s v="Mid-Market"/>
    <x v="9"/>
    <x v="9"/>
    <x v="0"/>
    <s v="Chair"/>
    <n v="7"/>
    <n v="12500"/>
    <n v="0.2"/>
    <n v="87500"/>
    <n v="17500"/>
    <x v="94"/>
    <n v="56966.99"/>
    <x v="105"/>
    <s v="Retail"/>
    <s v="Amit"/>
    <s v="UPI"/>
    <s v="Completed"/>
  </r>
  <r>
    <s v="SO10201"/>
    <x v="89"/>
    <s v="C020"/>
    <x v="8"/>
    <s v="Nagpur"/>
    <x v="4"/>
    <s v="SMB"/>
    <x v="7"/>
    <x v="7"/>
    <x v="1"/>
    <s v="Camera"/>
    <n v="1"/>
    <n v="16500"/>
    <n v="0"/>
    <n v="16500"/>
    <n v="0"/>
    <x v="1"/>
    <n v="9891.64"/>
    <x v="1"/>
    <s v="Partner"/>
    <s v="Amit"/>
    <s v="UPI"/>
    <s v="Cancelled"/>
  </r>
  <r>
    <s v="SO10025"/>
    <x v="90"/>
    <s v="C002"/>
    <x v="5"/>
    <s v="Mumbai"/>
    <x v="3"/>
    <s v="SMB"/>
    <x v="4"/>
    <x v="4"/>
    <x v="2"/>
    <s v="Dock"/>
    <n v="2"/>
    <n v="8900"/>
    <n v="0"/>
    <n v="17800"/>
    <n v="0"/>
    <x v="95"/>
    <n v="11142.47"/>
    <x v="106"/>
    <s v="Retail"/>
    <s v="Sneha"/>
    <s v="Net Banking"/>
    <s v="Returned"/>
  </r>
  <r>
    <s v="SO10106"/>
    <x v="90"/>
    <s v="C016"/>
    <x v="1"/>
    <s v="Coimbatore"/>
    <x v="1"/>
    <s v="SMB"/>
    <x v="5"/>
    <x v="5"/>
    <x v="2"/>
    <s v="Mouse"/>
    <n v="7"/>
    <n v="1800"/>
    <n v="0.2"/>
    <n v="12600"/>
    <n v="2520"/>
    <x v="47"/>
    <n v="6040.7"/>
    <x v="107"/>
    <s v="Partner"/>
    <s v="Kavita"/>
    <s v="Net Banking"/>
    <s v="Completed"/>
  </r>
  <r>
    <s v="SO10294"/>
    <x v="91"/>
    <s v="C012"/>
    <x v="16"/>
    <s v="Bhubaneswar"/>
    <x v="2"/>
    <s v="SMB"/>
    <x v="5"/>
    <x v="5"/>
    <x v="2"/>
    <s v="Mouse"/>
    <n v="8"/>
    <n v="1800"/>
    <n v="0"/>
    <n v="14400"/>
    <n v="0"/>
    <x v="88"/>
    <n v="10152.969999999999"/>
    <x v="108"/>
    <s v="Retail"/>
    <s v="Ravi"/>
    <s v="Net Banking"/>
    <s v="Completed"/>
  </r>
  <r>
    <s v="SO10112"/>
    <x v="92"/>
    <s v="C003"/>
    <x v="6"/>
    <s v="Bengaluru"/>
    <x v="1"/>
    <s v="Enterprise"/>
    <x v="9"/>
    <x v="9"/>
    <x v="0"/>
    <s v="Chair"/>
    <n v="5"/>
    <n v="12500"/>
    <n v="0.2"/>
    <n v="62500"/>
    <n v="12500"/>
    <x v="1"/>
    <n v="40544.35"/>
    <x v="1"/>
    <s v="Retail"/>
    <s v="Neeraj"/>
    <s v="Bank Transfer"/>
    <s v="Cancelled"/>
  </r>
  <r>
    <s v="SO10274"/>
    <x v="93"/>
    <s v="C003"/>
    <x v="6"/>
    <s v="Bengaluru"/>
    <x v="1"/>
    <s v="Enterprise"/>
    <x v="0"/>
    <x v="0"/>
    <x v="0"/>
    <s v="Desk"/>
    <n v="1"/>
    <n v="22000"/>
    <n v="0"/>
    <n v="22000"/>
    <n v="0"/>
    <x v="96"/>
    <n v="15067.83"/>
    <x v="109"/>
    <s v="Retail"/>
    <s v="Kavita"/>
    <s v="Net Banking"/>
    <s v="Completed"/>
  </r>
  <r>
    <s v="SO10062"/>
    <x v="94"/>
    <s v="C016"/>
    <x v="1"/>
    <s v="Coimbatore"/>
    <x v="1"/>
    <s v="SMB"/>
    <x v="1"/>
    <x v="1"/>
    <x v="1"/>
    <s v="Premium Laptop"/>
    <n v="5"/>
    <n v="78000"/>
    <n v="0.1"/>
    <n v="390000"/>
    <n v="39000"/>
    <x v="97"/>
    <n v="275474.46000000002"/>
    <x v="110"/>
    <s v="Partner"/>
    <s v="Sanjay"/>
    <s v="UPI"/>
    <s v="Completed"/>
  </r>
  <r>
    <s v="SO10180"/>
    <x v="94"/>
    <s v="C005"/>
    <x v="11"/>
    <s v="Ahmedabad"/>
    <x v="3"/>
    <s v="Mid-Market"/>
    <x v="1"/>
    <x v="1"/>
    <x v="1"/>
    <s v="Premium Laptop"/>
    <n v="6"/>
    <n v="78000"/>
    <n v="0.2"/>
    <n v="468000"/>
    <n v="93600"/>
    <x v="1"/>
    <n v="232884.81"/>
    <x v="1"/>
    <s v="Retail"/>
    <s v="Sanjay"/>
    <s v="Net Banking"/>
    <s v="Cancelled"/>
  </r>
  <r>
    <s v="SO10262"/>
    <x v="94"/>
    <s v="C015"/>
    <x v="15"/>
    <s v="Gurugram"/>
    <x v="0"/>
    <s v="Mid-Market"/>
    <x v="2"/>
    <x v="2"/>
    <x v="1"/>
    <s v="Monitor"/>
    <n v="3"/>
    <n v="14500"/>
    <n v="0"/>
    <n v="43500"/>
    <n v="0"/>
    <x v="98"/>
    <n v="32750.07"/>
    <x v="111"/>
    <s v="Online"/>
    <s v="Kavita"/>
    <s v="Credit Card"/>
    <s v="Completed"/>
  </r>
  <r>
    <s v="SO10138"/>
    <x v="95"/>
    <s v="C004"/>
    <x v="12"/>
    <s v="Hyderabad"/>
    <x v="1"/>
    <s v="SMB"/>
    <x v="4"/>
    <x v="4"/>
    <x v="2"/>
    <s v="Dock"/>
    <n v="7"/>
    <n v="8900"/>
    <n v="0.2"/>
    <n v="62300"/>
    <n v="12460"/>
    <x v="99"/>
    <n v="29522.58"/>
    <x v="112"/>
    <s v="Partner"/>
    <s v="Amit"/>
    <s v="Bank Transfer"/>
    <s v="Completed"/>
  </r>
  <r>
    <s v="SO10179"/>
    <x v="96"/>
    <s v="C009"/>
    <x v="3"/>
    <s v="Chennai"/>
    <x v="1"/>
    <s v="Enterprise"/>
    <x v="1"/>
    <x v="1"/>
    <x v="1"/>
    <s v="Premium Laptop"/>
    <n v="2"/>
    <n v="78000"/>
    <n v="0.05"/>
    <n v="156000"/>
    <n v="7800"/>
    <x v="1"/>
    <n v="94532.37"/>
    <x v="1"/>
    <s v="Partner"/>
    <s v="Ravi"/>
    <s v="Bank Transfer"/>
    <s v="Cancelled"/>
  </r>
  <r>
    <s v="SO10109"/>
    <x v="97"/>
    <s v="C002"/>
    <x v="5"/>
    <s v="Mumbai"/>
    <x v="3"/>
    <s v="SMB"/>
    <x v="5"/>
    <x v="5"/>
    <x v="2"/>
    <s v="Mouse"/>
    <n v="6"/>
    <n v="1800"/>
    <n v="0.1"/>
    <n v="10800"/>
    <n v="1080"/>
    <x v="100"/>
    <n v="5977.19"/>
    <x v="113"/>
    <s v="Retail"/>
    <s v="Kavita"/>
    <s v="UPI"/>
    <s v="Returned"/>
  </r>
  <r>
    <s v="SO10013"/>
    <x v="98"/>
    <s v="C019"/>
    <x v="9"/>
    <s v="Indore"/>
    <x v="4"/>
    <s v="Mid-Market"/>
    <x v="4"/>
    <x v="4"/>
    <x v="2"/>
    <s v="Dock"/>
    <n v="4"/>
    <n v="8900"/>
    <n v="0"/>
    <n v="35600"/>
    <n v="0"/>
    <x v="54"/>
    <n v="25001.39"/>
    <x v="114"/>
    <s v="Online"/>
    <s v="Ravi"/>
    <s v="UPI"/>
    <s v="Completed"/>
  </r>
  <r>
    <s v="SO10164"/>
    <x v="98"/>
    <s v="C014"/>
    <x v="17"/>
    <s v="Surat"/>
    <x v="3"/>
    <s v="SMB"/>
    <x v="0"/>
    <x v="0"/>
    <x v="0"/>
    <s v="Desk"/>
    <n v="1"/>
    <n v="22000"/>
    <n v="0.05"/>
    <n v="22000"/>
    <n v="1100"/>
    <x v="101"/>
    <n v="13671.27"/>
    <x v="115"/>
    <s v="Retail"/>
    <s v="Neeraj"/>
    <s v="UPI"/>
    <s v="Completed"/>
  </r>
  <r>
    <s v="SO10167"/>
    <x v="99"/>
    <s v="C002"/>
    <x v="5"/>
    <s v="Mumbai"/>
    <x v="3"/>
    <s v="SMB"/>
    <x v="4"/>
    <x v="4"/>
    <x v="2"/>
    <s v="Dock"/>
    <n v="4"/>
    <n v="8900"/>
    <n v="0.1"/>
    <n v="35600"/>
    <n v="3560"/>
    <x v="1"/>
    <n v="23278.43"/>
    <x v="1"/>
    <s v="Retail"/>
    <s v="Sneha"/>
    <s v="UPI"/>
    <s v="Cancelled"/>
  </r>
  <r>
    <s v="SO10210"/>
    <x v="100"/>
    <s v="C012"/>
    <x v="16"/>
    <s v="Bhubaneswar"/>
    <x v="2"/>
    <s v="SMB"/>
    <x v="4"/>
    <x v="4"/>
    <x v="2"/>
    <s v="Dock"/>
    <n v="1"/>
    <n v="8900"/>
    <n v="0.1"/>
    <n v="8900"/>
    <n v="890"/>
    <x v="102"/>
    <n v="4744.1499999999996"/>
    <x v="116"/>
    <s v="Online"/>
    <s v="Amit"/>
    <s v="Bank Transfer"/>
    <s v="Returned"/>
  </r>
  <r>
    <s v="SO10299"/>
    <x v="100"/>
    <s v="C018"/>
    <x v="14"/>
    <s v="Thiruvananthapuram"/>
    <x v="1"/>
    <s v="SMB"/>
    <x v="2"/>
    <x v="2"/>
    <x v="1"/>
    <s v="Monitor"/>
    <n v="6"/>
    <n v="14500"/>
    <n v="0"/>
    <n v="87000"/>
    <n v="0"/>
    <x v="103"/>
    <n v="60013.65"/>
    <x v="117"/>
    <s v="Partner"/>
    <s v="Neeraj"/>
    <s v="Bank Transfer"/>
    <s v="Completed"/>
  </r>
  <r>
    <s v="SO10035"/>
    <x v="101"/>
    <s v="C003"/>
    <x v="6"/>
    <s v="Bengaluru"/>
    <x v="1"/>
    <s v="Enterprise"/>
    <x v="8"/>
    <x v="8"/>
    <x v="2"/>
    <s v="Keyboard"/>
    <n v="5"/>
    <n v="3200"/>
    <n v="0"/>
    <n v="16000"/>
    <n v="0"/>
    <x v="104"/>
    <n v="10962.63"/>
    <x v="118"/>
    <s v="Partner"/>
    <s v="Amit"/>
    <s v="Credit Card"/>
    <s v="Returned"/>
  </r>
  <r>
    <s v="SO10205"/>
    <x v="101"/>
    <s v="C013"/>
    <x v="0"/>
    <s v="Noida"/>
    <x v="0"/>
    <s v="Enterprise"/>
    <x v="2"/>
    <x v="2"/>
    <x v="1"/>
    <s v="Monitor"/>
    <n v="2"/>
    <n v="14500"/>
    <n v="0.05"/>
    <n v="29000"/>
    <n v="1450"/>
    <x v="49"/>
    <n v="17577.37"/>
    <x v="119"/>
    <s v="Retail"/>
    <s v="Neeraj"/>
    <s v="UPI"/>
    <s v="Completed"/>
  </r>
  <r>
    <s v="SO10255"/>
    <x v="102"/>
    <s v="C002"/>
    <x v="5"/>
    <s v="Mumbai"/>
    <x v="3"/>
    <s v="SMB"/>
    <x v="5"/>
    <x v="5"/>
    <x v="2"/>
    <s v="Mouse"/>
    <n v="1"/>
    <n v="1800"/>
    <n v="0"/>
    <n v="1800"/>
    <n v="0"/>
    <x v="105"/>
    <n v="1125.29"/>
    <x v="120"/>
    <s v="Partner"/>
    <s v="Sanjay"/>
    <s v="UPI"/>
    <s v="Returned"/>
  </r>
  <r>
    <s v="SO10008"/>
    <x v="103"/>
    <s v="C008"/>
    <x v="10"/>
    <s v="Jaipur"/>
    <x v="0"/>
    <s v="SMB"/>
    <x v="6"/>
    <x v="6"/>
    <x v="1"/>
    <s v="Standard Laptop"/>
    <n v="5"/>
    <n v="62000"/>
    <n v="0.1"/>
    <n v="310000"/>
    <n v="31000"/>
    <x v="22"/>
    <n v="204385.43"/>
    <x v="121"/>
    <s v="Online"/>
    <s v="Amit"/>
    <s v="Bank Transfer"/>
    <s v="Completed"/>
  </r>
  <r>
    <s v="SO10148"/>
    <x v="103"/>
    <s v="C006"/>
    <x v="4"/>
    <s v="Kolkata"/>
    <x v="2"/>
    <s v="SMB"/>
    <x v="2"/>
    <x v="2"/>
    <x v="1"/>
    <s v="Monitor"/>
    <n v="4"/>
    <n v="14500"/>
    <n v="0.15"/>
    <n v="58000"/>
    <n v="8700"/>
    <x v="1"/>
    <n v="35204.82"/>
    <x v="1"/>
    <s v="Retail"/>
    <s v="Ravi"/>
    <s v="Net Banking"/>
    <s v="Cancelled"/>
  </r>
  <r>
    <s v="SO10269"/>
    <x v="103"/>
    <s v="C003"/>
    <x v="6"/>
    <s v="Bengaluru"/>
    <x v="1"/>
    <s v="Enterprise"/>
    <x v="4"/>
    <x v="4"/>
    <x v="2"/>
    <s v="Dock"/>
    <n v="7"/>
    <n v="8900"/>
    <n v="0.15"/>
    <n v="62300"/>
    <n v="9345"/>
    <x v="1"/>
    <n v="36763.54"/>
    <x v="1"/>
    <s v="Online"/>
    <s v="Sanjay"/>
    <s v="UPI"/>
    <s v="Cancelled"/>
  </r>
  <r>
    <s v="SO10060"/>
    <x v="104"/>
    <s v="C005"/>
    <x v="11"/>
    <s v="Ahmedabad"/>
    <x v="3"/>
    <s v="Mid-Market"/>
    <x v="8"/>
    <x v="8"/>
    <x v="2"/>
    <s v="Keyboard"/>
    <n v="3"/>
    <n v="3200"/>
    <n v="0.2"/>
    <n v="9600"/>
    <n v="1920"/>
    <x v="106"/>
    <n v="4848.76"/>
    <x v="122"/>
    <s v="Retail"/>
    <s v="Amit"/>
    <s v="Net Banking"/>
    <s v="Completed"/>
  </r>
  <r>
    <s v="SO10123"/>
    <x v="105"/>
    <s v="C018"/>
    <x v="14"/>
    <s v="Thiruvananthapuram"/>
    <x v="1"/>
    <s v="SMB"/>
    <x v="2"/>
    <x v="2"/>
    <x v="1"/>
    <s v="Monitor"/>
    <n v="8"/>
    <n v="14500"/>
    <n v="0.05"/>
    <n v="116000"/>
    <n v="5800"/>
    <x v="1"/>
    <n v="81649.02"/>
    <x v="1"/>
    <s v="Partner"/>
    <s v="Kavita"/>
    <s v="Net Banking"/>
    <s v="Cancelled"/>
  </r>
  <r>
    <s v="SO10208"/>
    <x v="106"/>
    <s v="C001"/>
    <x v="19"/>
    <s v="Delhi"/>
    <x v="0"/>
    <s v="Enterprise"/>
    <x v="6"/>
    <x v="6"/>
    <x v="1"/>
    <s v="Standard Laptop"/>
    <n v="8"/>
    <n v="62000"/>
    <n v="0"/>
    <n v="496000"/>
    <n v="0"/>
    <x v="107"/>
    <n v="313290.78999999998"/>
    <x v="123"/>
    <s v="Online"/>
    <s v="Ravi"/>
    <s v="Bank Transfer"/>
    <s v="Completed"/>
  </r>
  <r>
    <s v="SO10212"/>
    <x v="106"/>
    <s v="C005"/>
    <x v="11"/>
    <s v="Ahmedabad"/>
    <x v="3"/>
    <s v="Mid-Market"/>
    <x v="6"/>
    <x v="6"/>
    <x v="1"/>
    <s v="Standard Laptop"/>
    <n v="6"/>
    <n v="62000"/>
    <n v="0.05"/>
    <n v="372000"/>
    <n v="18600"/>
    <x v="108"/>
    <n v="252285.07"/>
    <x v="124"/>
    <s v="Online"/>
    <s v="Sneha"/>
    <s v="Net Banking"/>
    <s v="Completed"/>
  </r>
  <r>
    <s v="SO10070"/>
    <x v="107"/>
    <s v="C019"/>
    <x v="9"/>
    <s v="Indore"/>
    <x v="4"/>
    <s v="Mid-Market"/>
    <x v="4"/>
    <x v="4"/>
    <x v="2"/>
    <s v="Dock"/>
    <n v="4"/>
    <n v="8900"/>
    <n v="0"/>
    <n v="35600"/>
    <n v="0"/>
    <x v="1"/>
    <n v="25706.880000000001"/>
    <x v="1"/>
    <s v="Online"/>
    <s v="Ravi"/>
    <s v="Bank Transfer"/>
    <s v="Cancelled"/>
  </r>
  <r>
    <s v="SO10182"/>
    <x v="107"/>
    <s v="C010"/>
    <x v="2"/>
    <s v="Kochi"/>
    <x v="1"/>
    <s v="SMB"/>
    <x v="0"/>
    <x v="0"/>
    <x v="0"/>
    <s v="Desk"/>
    <n v="8"/>
    <n v="22000"/>
    <n v="0.05"/>
    <n v="176000"/>
    <n v="8800"/>
    <x v="1"/>
    <n v="98445.52"/>
    <x v="1"/>
    <s v="Online"/>
    <s v="Amit"/>
    <s v="Bank Transfer"/>
    <s v="Cancelled"/>
  </r>
  <r>
    <s v="SO10196"/>
    <x v="107"/>
    <s v="C003"/>
    <x v="6"/>
    <s v="Bengaluru"/>
    <x v="1"/>
    <s v="Enterprise"/>
    <x v="5"/>
    <x v="5"/>
    <x v="2"/>
    <s v="Mouse"/>
    <n v="8"/>
    <n v="1800"/>
    <n v="0.15"/>
    <n v="14400"/>
    <n v="2160"/>
    <x v="18"/>
    <n v="8305.9500000000007"/>
    <x v="125"/>
    <s v="Partner"/>
    <s v="Ravi"/>
    <s v="UPI"/>
    <s v="Completed"/>
  </r>
  <r>
    <s v="SO10160"/>
    <x v="108"/>
    <s v="C010"/>
    <x v="2"/>
    <s v="Kochi"/>
    <x v="1"/>
    <s v="SMB"/>
    <x v="4"/>
    <x v="4"/>
    <x v="2"/>
    <s v="Dock"/>
    <n v="6"/>
    <n v="8900"/>
    <n v="0.2"/>
    <n v="53400"/>
    <n v="10680"/>
    <x v="1"/>
    <n v="30907.599999999999"/>
    <x v="1"/>
    <s v="Partner"/>
    <s v="Amit"/>
    <s v="Credit Card"/>
    <s v="Cancelled"/>
  </r>
  <r>
    <s v="SO10226"/>
    <x v="109"/>
    <s v="C002"/>
    <x v="5"/>
    <s v="Mumbai"/>
    <x v="3"/>
    <s v="SMB"/>
    <x v="6"/>
    <x v="6"/>
    <x v="1"/>
    <s v="Standard Laptop"/>
    <n v="6"/>
    <n v="62000"/>
    <n v="0.2"/>
    <n v="372000"/>
    <n v="74400"/>
    <x v="1"/>
    <n v="206348.98"/>
    <x v="1"/>
    <s v="Online"/>
    <s v="Ravi"/>
    <s v="UPI"/>
    <s v="Cancelled"/>
  </r>
  <r>
    <s v="SO10124"/>
    <x v="110"/>
    <s v="C019"/>
    <x v="9"/>
    <s v="Indore"/>
    <x v="4"/>
    <s v="Mid-Market"/>
    <x v="2"/>
    <x v="2"/>
    <x v="1"/>
    <s v="Monitor"/>
    <n v="2"/>
    <n v="14500"/>
    <n v="0.1"/>
    <n v="29000"/>
    <n v="2900"/>
    <x v="109"/>
    <n v="18994.45"/>
    <x v="126"/>
    <s v="Online"/>
    <s v="Sanjay"/>
    <s v="Bank Transfer"/>
    <s v="Completed"/>
  </r>
  <r>
    <s v="SO10145"/>
    <x v="110"/>
    <s v="C020"/>
    <x v="8"/>
    <s v="Nagpur"/>
    <x v="4"/>
    <s v="SMB"/>
    <x v="9"/>
    <x v="9"/>
    <x v="0"/>
    <s v="Chair"/>
    <n v="5"/>
    <n v="12500"/>
    <n v="0"/>
    <n v="62500"/>
    <n v="0"/>
    <x v="31"/>
    <n v="47574.15"/>
    <x v="127"/>
    <s v="Retail"/>
    <s v="Neeraj"/>
    <s v="Credit Card"/>
    <s v="Completed"/>
  </r>
  <r>
    <s v="SO10169"/>
    <x v="111"/>
    <s v="C017"/>
    <x v="13"/>
    <s v="Chandigarh"/>
    <x v="0"/>
    <s v="Enterprise"/>
    <x v="0"/>
    <x v="0"/>
    <x v="0"/>
    <s v="Desk"/>
    <n v="3"/>
    <n v="22000"/>
    <n v="0"/>
    <n v="66000"/>
    <n v="0"/>
    <x v="75"/>
    <n v="50971.95"/>
    <x v="128"/>
    <s v="Retail"/>
    <s v="Ravi"/>
    <s v="Net Banking"/>
    <s v="Completed"/>
  </r>
  <r>
    <s v="SO10066"/>
    <x v="112"/>
    <s v="C013"/>
    <x v="0"/>
    <s v="Noida"/>
    <x v="0"/>
    <s v="Enterprise"/>
    <x v="5"/>
    <x v="5"/>
    <x v="2"/>
    <s v="Mouse"/>
    <n v="5"/>
    <n v="1800"/>
    <n v="0"/>
    <n v="9000"/>
    <n v="0"/>
    <x v="1"/>
    <n v="6235.86"/>
    <x v="1"/>
    <s v="Partner"/>
    <s v="Ravi"/>
    <s v="Bank Transfer"/>
    <s v="Cancelled"/>
  </r>
  <r>
    <s v="SO10024"/>
    <x v="113"/>
    <s v="C014"/>
    <x v="17"/>
    <s v="Surat"/>
    <x v="3"/>
    <s v="SMB"/>
    <x v="3"/>
    <x v="3"/>
    <x v="2"/>
    <s v="Headset"/>
    <n v="7"/>
    <n v="4200"/>
    <n v="0.1"/>
    <n v="29400"/>
    <n v="2940"/>
    <x v="110"/>
    <n v="20832.509999999998"/>
    <x v="129"/>
    <s v="Partner"/>
    <s v="Sanjay"/>
    <s v="Credit Card"/>
    <s v="Completed"/>
  </r>
  <r>
    <s v="SO10245"/>
    <x v="114"/>
    <s v="C015"/>
    <x v="15"/>
    <s v="Gurugram"/>
    <x v="0"/>
    <s v="Mid-Market"/>
    <x v="0"/>
    <x v="0"/>
    <x v="0"/>
    <s v="Desk"/>
    <n v="7"/>
    <n v="22000"/>
    <n v="0"/>
    <n v="154000"/>
    <n v="0"/>
    <x v="3"/>
    <n v="98468.04"/>
    <x v="130"/>
    <s v="Online"/>
    <s v="Amit"/>
    <s v="UPI"/>
    <s v="Completed"/>
  </r>
  <r>
    <s v="SO10135"/>
    <x v="115"/>
    <s v="C018"/>
    <x v="14"/>
    <s v="Thiruvananthapuram"/>
    <x v="1"/>
    <s v="SMB"/>
    <x v="8"/>
    <x v="8"/>
    <x v="2"/>
    <s v="Keyboard"/>
    <n v="8"/>
    <n v="3200"/>
    <n v="0"/>
    <n v="25600"/>
    <n v="0"/>
    <x v="111"/>
    <n v="17390.47"/>
    <x v="131"/>
    <s v="Retail"/>
    <s v="Neeraj"/>
    <s v="Credit Card"/>
    <s v="Completed"/>
  </r>
  <r>
    <s v="SO10137"/>
    <x v="116"/>
    <s v="C003"/>
    <x v="6"/>
    <s v="Bengaluru"/>
    <x v="1"/>
    <s v="Enterprise"/>
    <x v="6"/>
    <x v="6"/>
    <x v="1"/>
    <s v="Standard Laptop"/>
    <n v="2"/>
    <n v="62000"/>
    <n v="0.2"/>
    <n v="124000"/>
    <n v="24800"/>
    <x v="112"/>
    <n v="75125.259999999995"/>
    <x v="132"/>
    <s v="Partner"/>
    <s v="Ravi"/>
    <s v="Bank Transfer"/>
    <s v="Completed"/>
  </r>
  <r>
    <s v="SO10270"/>
    <x v="117"/>
    <s v="C003"/>
    <x v="6"/>
    <s v="Bengaluru"/>
    <x v="1"/>
    <s v="Enterprise"/>
    <x v="9"/>
    <x v="9"/>
    <x v="0"/>
    <s v="Chair"/>
    <n v="6"/>
    <n v="12500"/>
    <n v="0.15"/>
    <n v="75000"/>
    <n v="11250"/>
    <x v="113"/>
    <n v="51928.14"/>
    <x v="133"/>
    <s v="Partner"/>
    <s v="Ravi"/>
    <s v="UPI"/>
    <s v="Completed"/>
  </r>
  <r>
    <s v="SO10155"/>
    <x v="118"/>
    <s v="C011"/>
    <x v="18"/>
    <s v="Lucknow"/>
    <x v="0"/>
    <s v="Mid-Market"/>
    <x v="2"/>
    <x v="2"/>
    <x v="1"/>
    <s v="Monitor"/>
    <n v="2"/>
    <n v="14500"/>
    <n v="0.1"/>
    <n v="29000"/>
    <n v="2900"/>
    <x v="109"/>
    <n v="17907.990000000002"/>
    <x v="134"/>
    <s v="Retail"/>
    <s v="Kavita"/>
    <s v="Credit Card"/>
    <s v="Completed"/>
  </r>
  <r>
    <s v="SO10052"/>
    <x v="119"/>
    <s v="C015"/>
    <x v="15"/>
    <s v="Gurugram"/>
    <x v="0"/>
    <s v="Mid-Market"/>
    <x v="9"/>
    <x v="9"/>
    <x v="0"/>
    <s v="Chair"/>
    <n v="4"/>
    <n v="12500"/>
    <n v="0.15"/>
    <n v="50000"/>
    <n v="7500"/>
    <x v="1"/>
    <n v="29476.5"/>
    <x v="1"/>
    <s v="Online"/>
    <s v="Sanjay"/>
    <s v="Credit Card"/>
    <s v="Cancelled"/>
  </r>
  <r>
    <s v="SO10224"/>
    <x v="119"/>
    <s v="C003"/>
    <x v="6"/>
    <s v="Bengaluru"/>
    <x v="1"/>
    <s v="Enterprise"/>
    <x v="3"/>
    <x v="3"/>
    <x v="2"/>
    <s v="Headset"/>
    <n v="5"/>
    <n v="4200"/>
    <n v="0.2"/>
    <n v="21000"/>
    <n v="4200"/>
    <x v="114"/>
    <n v="11675.65"/>
    <x v="135"/>
    <s v="Partner"/>
    <s v="Amit"/>
    <s v="Bank Transfer"/>
    <s v="Completed"/>
  </r>
  <r>
    <s v="SO10125"/>
    <x v="120"/>
    <s v="C007"/>
    <x v="7"/>
    <s v="Pune"/>
    <x v="3"/>
    <s v="Mid-Market"/>
    <x v="9"/>
    <x v="9"/>
    <x v="0"/>
    <s v="Chair"/>
    <n v="4"/>
    <n v="12500"/>
    <n v="0.05"/>
    <n v="50000"/>
    <n v="2500"/>
    <x v="1"/>
    <n v="28682.639999999999"/>
    <x v="1"/>
    <s v="Retail"/>
    <s v="Kavita"/>
    <s v="Bank Transfer"/>
    <s v="Cancelled"/>
  </r>
  <r>
    <s v="SO10131"/>
    <x v="121"/>
    <s v="C003"/>
    <x v="6"/>
    <s v="Bengaluru"/>
    <x v="1"/>
    <s v="Enterprise"/>
    <x v="9"/>
    <x v="9"/>
    <x v="0"/>
    <s v="Chair"/>
    <n v="6"/>
    <n v="12500"/>
    <n v="0.15"/>
    <n v="75000"/>
    <n v="11250"/>
    <x v="113"/>
    <n v="46058.09"/>
    <x v="136"/>
    <s v="Partner"/>
    <s v="Sneha"/>
    <s v="Credit Card"/>
    <s v="Completed"/>
  </r>
  <r>
    <s v="SO10243"/>
    <x v="121"/>
    <s v="C012"/>
    <x v="16"/>
    <s v="Bhubaneswar"/>
    <x v="2"/>
    <s v="SMB"/>
    <x v="4"/>
    <x v="4"/>
    <x v="2"/>
    <s v="Dock"/>
    <n v="7"/>
    <n v="8900"/>
    <n v="0.1"/>
    <n v="62300"/>
    <n v="6230"/>
    <x v="1"/>
    <n v="33600.51"/>
    <x v="1"/>
    <s v="Partner"/>
    <s v="Sneha"/>
    <s v="Bank Transfer"/>
    <s v="Cancelled"/>
  </r>
  <r>
    <s v="SO10279"/>
    <x v="121"/>
    <s v="C006"/>
    <x v="4"/>
    <s v="Kolkata"/>
    <x v="2"/>
    <s v="SMB"/>
    <x v="4"/>
    <x v="4"/>
    <x v="2"/>
    <s v="Dock"/>
    <n v="7"/>
    <n v="8900"/>
    <n v="0"/>
    <n v="62300"/>
    <n v="0"/>
    <x v="115"/>
    <n v="36526.67"/>
    <x v="137"/>
    <s v="Partner"/>
    <s v="Ravi"/>
    <s v="Bank Transfer"/>
    <s v="Completed"/>
  </r>
  <r>
    <s v="SO10058"/>
    <x v="122"/>
    <s v="C006"/>
    <x v="4"/>
    <s v="Kolkata"/>
    <x v="2"/>
    <s v="SMB"/>
    <x v="9"/>
    <x v="9"/>
    <x v="0"/>
    <s v="Chair"/>
    <n v="5"/>
    <n v="12500"/>
    <n v="0"/>
    <n v="62500"/>
    <n v="0"/>
    <x v="31"/>
    <n v="48847.94"/>
    <x v="138"/>
    <s v="Partner"/>
    <s v="Neeraj"/>
    <s v="UPI"/>
    <s v="Completed"/>
  </r>
  <r>
    <s v="SO10197"/>
    <x v="122"/>
    <s v="C011"/>
    <x v="18"/>
    <s v="Lucknow"/>
    <x v="0"/>
    <s v="Mid-Market"/>
    <x v="6"/>
    <x v="6"/>
    <x v="1"/>
    <s v="Standard Laptop"/>
    <n v="8"/>
    <n v="62000"/>
    <n v="0.2"/>
    <n v="496000"/>
    <n v="99200"/>
    <x v="116"/>
    <n v="279413.23"/>
    <x v="139"/>
    <s v="Partner"/>
    <s v="Sanjay"/>
    <s v="UPI"/>
    <s v="Completed"/>
  </r>
  <r>
    <s v="SO10143"/>
    <x v="123"/>
    <s v="C013"/>
    <x v="0"/>
    <s v="Noida"/>
    <x v="0"/>
    <s v="Enterprise"/>
    <x v="4"/>
    <x v="4"/>
    <x v="2"/>
    <s v="Dock"/>
    <n v="6"/>
    <n v="8900"/>
    <n v="0"/>
    <n v="53400"/>
    <n v="0"/>
    <x v="1"/>
    <n v="35714.6"/>
    <x v="1"/>
    <s v="Retail"/>
    <s v="Kavita"/>
    <s v="Credit Card"/>
    <s v="Cancelled"/>
  </r>
  <r>
    <s v="SO10240"/>
    <x v="124"/>
    <s v="C017"/>
    <x v="13"/>
    <s v="Chandigarh"/>
    <x v="0"/>
    <s v="Enterprise"/>
    <x v="4"/>
    <x v="4"/>
    <x v="2"/>
    <s v="Dock"/>
    <n v="1"/>
    <n v="8900"/>
    <n v="0.15"/>
    <n v="8900"/>
    <n v="1335"/>
    <x v="117"/>
    <n v="5227.1899999999996"/>
    <x v="140"/>
    <s v="Partner"/>
    <s v="Ravi"/>
    <s v="Net Banking"/>
    <s v="Completed"/>
  </r>
  <r>
    <s v="SO10034"/>
    <x v="125"/>
    <s v="C003"/>
    <x v="6"/>
    <s v="Bengaluru"/>
    <x v="1"/>
    <s v="Enterprise"/>
    <x v="1"/>
    <x v="1"/>
    <x v="1"/>
    <s v="Premium Laptop"/>
    <n v="2"/>
    <n v="78000"/>
    <n v="0"/>
    <n v="156000"/>
    <n v="0"/>
    <x v="118"/>
    <n v="110609.03"/>
    <x v="141"/>
    <s v="Retail"/>
    <s v="Sneha"/>
    <s v="Bank Transfer"/>
    <s v="Returned"/>
  </r>
  <r>
    <s v="SO10132"/>
    <x v="125"/>
    <s v="C017"/>
    <x v="13"/>
    <s v="Chandigarh"/>
    <x v="0"/>
    <s v="Enterprise"/>
    <x v="5"/>
    <x v="5"/>
    <x v="2"/>
    <s v="Mouse"/>
    <n v="1"/>
    <n v="1800"/>
    <n v="0"/>
    <n v="1800"/>
    <n v="0"/>
    <x v="119"/>
    <n v="1475.39"/>
    <x v="142"/>
    <s v="Retail"/>
    <s v="Sanjay"/>
    <s v="Credit Card"/>
    <s v="Completed"/>
  </r>
  <r>
    <s v="SO10111"/>
    <x v="126"/>
    <s v="C015"/>
    <x v="15"/>
    <s v="Gurugram"/>
    <x v="0"/>
    <s v="Mid-Market"/>
    <x v="5"/>
    <x v="5"/>
    <x v="2"/>
    <s v="Mouse"/>
    <n v="5"/>
    <n v="1800"/>
    <n v="0.2"/>
    <n v="9000"/>
    <n v="1800"/>
    <x v="67"/>
    <n v="4192.24"/>
    <x v="143"/>
    <s v="Retail"/>
    <s v="Sanjay"/>
    <s v="UPI"/>
    <s v="Completed"/>
  </r>
  <r>
    <s v="SO10026"/>
    <x v="127"/>
    <s v="C006"/>
    <x v="4"/>
    <s v="Kolkata"/>
    <x v="2"/>
    <s v="SMB"/>
    <x v="5"/>
    <x v="5"/>
    <x v="2"/>
    <s v="Mouse"/>
    <n v="4"/>
    <n v="1800"/>
    <n v="0"/>
    <n v="7200"/>
    <n v="0"/>
    <x v="120"/>
    <n v="4941.7299999999996"/>
    <x v="144"/>
    <s v="Online"/>
    <s v="Ravi"/>
    <s v="Credit Card"/>
    <s v="Returned"/>
  </r>
  <r>
    <s v="SO10287"/>
    <x v="127"/>
    <s v="C018"/>
    <x v="14"/>
    <s v="Thiruvananthapuram"/>
    <x v="1"/>
    <s v="SMB"/>
    <x v="1"/>
    <x v="1"/>
    <x v="1"/>
    <s v="Premium Laptop"/>
    <n v="4"/>
    <n v="78000"/>
    <n v="0.1"/>
    <n v="312000"/>
    <n v="31200"/>
    <x v="1"/>
    <n v="216621.62"/>
    <x v="1"/>
    <s v="Online"/>
    <s v="Neeraj"/>
    <s v="Net Banking"/>
    <s v="Cancelled"/>
  </r>
  <r>
    <s v="SO10057"/>
    <x v="128"/>
    <s v="C015"/>
    <x v="15"/>
    <s v="Gurugram"/>
    <x v="0"/>
    <s v="Mid-Market"/>
    <x v="2"/>
    <x v="2"/>
    <x v="1"/>
    <s v="Monitor"/>
    <n v="6"/>
    <n v="14500"/>
    <n v="0.1"/>
    <n v="87000"/>
    <n v="8700"/>
    <x v="1"/>
    <n v="56926.96"/>
    <x v="1"/>
    <s v="Partner"/>
    <s v="Neeraj"/>
    <s v="Net Banking"/>
    <s v="Cancelled"/>
  </r>
  <r>
    <s v="SO10204"/>
    <x v="128"/>
    <s v="C014"/>
    <x v="17"/>
    <s v="Surat"/>
    <x v="3"/>
    <s v="SMB"/>
    <x v="9"/>
    <x v="9"/>
    <x v="0"/>
    <s v="Chair"/>
    <n v="4"/>
    <n v="12500"/>
    <n v="0.05"/>
    <n v="50000"/>
    <n v="2500"/>
    <x v="121"/>
    <n v="34465.93"/>
    <x v="145"/>
    <s v="Partner"/>
    <s v="Amit"/>
    <s v="Bank Transfer"/>
    <s v="Completed"/>
  </r>
  <r>
    <s v="SO10230"/>
    <x v="129"/>
    <s v="C005"/>
    <x v="11"/>
    <s v="Ahmedabad"/>
    <x v="3"/>
    <s v="Mid-Market"/>
    <x v="0"/>
    <x v="0"/>
    <x v="0"/>
    <s v="Desk"/>
    <n v="5"/>
    <n v="22000"/>
    <n v="0"/>
    <n v="110000"/>
    <n v="0"/>
    <x v="122"/>
    <n v="85152.69"/>
    <x v="146"/>
    <s v="Online"/>
    <s v="Sanjay"/>
    <s v="Net Banking"/>
    <s v="Completed"/>
  </r>
  <r>
    <s v="SO10083"/>
    <x v="130"/>
    <s v="C019"/>
    <x v="9"/>
    <s v="Indore"/>
    <x v="4"/>
    <s v="Mid-Market"/>
    <x v="5"/>
    <x v="5"/>
    <x v="2"/>
    <s v="Mouse"/>
    <n v="8"/>
    <n v="1800"/>
    <n v="0.1"/>
    <n v="14400"/>
    <n v="1440"/>
    <x v="123"/>
    <n v="8576.5300000000007"/>
    <x v="147"/>
    <s v="Retail"/>
    <s v="Neeraj"/>
    <s v="Credit Card"/>
    <s v="Completed"/>
  </r>
  <r>
    <s v="SO10094"/>
    <x v="130"/>
    <s v="C016"/>
    <x v="1"/>
    <s v="Coimbatore"/>
    <x v="1"/>
    <s v="SMB"/>
    <x v="6"/>
    <x v="6"/>
    <x v="1"/>
    <s v="Standard Laptop"/>
    <n v="6"/>
    <n v="62000"/>
    <n v="0.1"/>
    <n v="372000"/>
    <n v="37200"/>
    <x v="1"/>
    <n v="220966"/>
    <x v="1"/>
    <s v="Online"/>
    <s v="Sneha"/>
    <s v="Bank Transfer"/>
    <s v="Cancelled"/>
  </r>
  <r>
    <s v="SO10068"/>
    <x v="131"/>
    <s v="C008"/>
    <x v="10"/>
    <s v="Jaipur"/>
    <x v="0"/>
    <s v="SMB"/>
    <x v="2"/>
    <x v="2"/>
    <x v="1"/>
    <s v="Monitor"/>
    <n v="2"/>
    <n v="14500"/>
    <n v="0.15"/>
    <n v="29000"/>
    <n v="4350"/>
    <x v="124"/>
    <n v="19903.93"/>
    <x v="148"/>
    <s v="Partner"/>
    <s v="Amit"/>
    <s v="Bank Transfer"/>
    <s v="Completed"/>
  </r>
  <r>
    <s v="SO10158"/>
    <x v="132"/>
    <s v="C011"/>
    <x v="18"/>
    <s v="Lucknow"/>
    <x v="0"/>
    <s v="Mid-Market"/>
    <x v="7"/>
    <x v="7"/>
    <x v="1"/>
    <s v="Camera"/>
    <n v="3"/>
    <n v="16500"/>
    <n v="0"/>
    <n v="49500"/>
    <n v="0"/>
    <x v="125"/>
    <n v="34062.21"/>
    <x v="149"/>
    <s v="Partner"/>
    <s v="Ravi"/>
    <s v="UPI"/>
    <s v="Completed"/>
  </r>
  <r>
    <s v="SO10271"/>
    <x v="132"/>
    <s v="C007"/>
    <x v="7"/>
    <s v="Pune"/>
    <x v="3"/>
    <s v="Mid-Market"/>
    <x v="7"/>
    <x v="7"/>
    <x v="1"/>
    <s v="Camera"/>
    <n v="5"/>
    <n v="16500"/>
    <n v="0"/>
    <n v="82500"/>
    <n v="0"/>
    <x v="1"/>
    <n v="66148.350000000006"/>
    <x v="1"/>
    <s v="Retail"/>
    <s v="Kavita"/>
    <s v="Credit Card"/>
    <s v="Cancelled"/>
  </r>
  <r>
    <s v="SO10227"/>
    <x v="133"/>
    <s v="C014"/>
    <x v="17"/>
    <s v="Surat"/>
    <x v="3"/>
    <s v="SMB"/>
    <x v="9"/>
    <x v="9"/>
    <x v="0"/>
    <s v="Chair"/>
    <n v="4"/>
    <n v="12500"/>
    <n v="0.05"/>
    <n v="50000"/>
    <n v="2500"/>
    <x v="1"/>
    <n v="31211.31"/>
    <x v="1"/>
    <s v="Online"/>
    <s v="Ravi"/>
    <s v="UPI"/>
    <s v="Cancelled"/>
  </r>
  <r>
    <s v="SO10236"/>
    <x v="133"/>
    <s v="C008"/>
    <x v="10"/>
    <s v="Jaipur"/>
    <x v="0"/>
    <s v="SMB"/>
    <x v="2"/>
    <x v="2"/>
    <x v="1"/>
    <s v="Monitor"/>
    <n v="3"/>
    <n v="14500"/>
    <n v="0.1"/>
    <n v="43500"/>
    <n v="4350"/>
    <x v="126"/>
    <n v="29732.720000000001"/>
    <x v="150"/>
    <s v="Retail"/>
    <s v="Neeraj"/>
    <s v="Net Banking"/>
    <s v="Returned"/>
  </r>
  <r>
    <s v="SO10118"/>
    <x v="134"/>
    <s v="C006"/>
    <x v="4"/>
    <s v="Kolkata"/>
    <x v="2"/>
    <s v="SMB"/>
    <x v="5"/>
    <x v="5"/>
    <x v="2"/>
    <s v="Mouse"/>
    <n v="5"/>
    <n v="1800"/>
    <n v="0.2"/>
    <n v="9000"/>
    <n v="1800"/>
    <x v="67"/>
    <n v="5680.05"/>
    <x v="151"/>
    <s v="Retail"/>
    <s v="Ravi"/>
    <s v="UPI"/>
    <s v="Completed"/>
  </r>
  <r>
    <s v="SO10113"/>
    <x v="135"/>
    <s v="C007"/>
    <x v="7"/>
    <s v="Pune"/>
    <x v="3"/>
    <s v="Mid-Market"/>
    <x v="4"/>
    <x v="4"/>
    <x v="2"/>
    <s v="Dock"/>
    <n v="2"/>
    <n v="8900"/>
    <n v="0"/>
    <n v="17800"/>
    <n v="0"/>
    <x v="127"/>
    <n v="11953.19"/>
    <x v="152"/>
    <s v="Partner"/>
    <s v="Amit"/>
    <s v="Bank Transfer"/>
    <s v="Completed"/>
  </r>
  <r>
    <s v="SO10293"/>
    <x v="135"/>
    <s v="C012"/>
    <x v="16"/>
    <s v="Bhubaneswar"/>
    <x v="2"/>
    <s v="SMB"/>
    <x v="1"/>
    <x v="1"/>
    <x v="1"/>
    <s v="Premium Laptop"/>
    <n v="2"/>
    <n v="78000"/>
    <n v="0.05"/>
    <n v="156000"/>
    <n v="7800"/>
    <x v="128"/>
    <n v="100751.41"/>
    <x v="153"/>
    <s v="Online"/>
    <s v="Sanjay"/>
    <s v="UPI"/>
    <s v="Completed"/>
  </r>
  <r>
    <s v="SO10146"/>
    <x v="136"/>
    <s v="C010"/>
    <x v="2"/>
    <s v="Kochi"/>
    <x v="1"/>
    <s v="SMB"/>
    <x v="7"/>
    <x v="7"/>
    <x v="1"/>
    <s v="Camera"/>
    <n v="5"/>
    <n v="16500"/>
    <n v="0"/>
    <n v="82500"/>
    <n v="0"/>
    <x v="129"/>
    <n v="52216.27"/>
    <x v="154"/>
    <s v="Online"/>
    <s v="Ravi"/>
    <s v="UPI"/>
    <s v="Returned"/>
  </r>
  <r>
    <s v="SO10072"/>
    <x v="137"/>
    <s v="C001"/>
    <x v="19"/>
    <s v="Delhi"/>
    <x v="0"/>
    <s v="Enterprise"/>
    <x v="4"/>
    <x v="4"/>
    <x v="2"/>
    <s v="Dock"/>
    <n v="2"/>
    <n v="8900"/>
    <n v="0.1"/>
    <n v="17800"/>
    <n v="1780"/>
    <x v="1"/>
    <n v="12985.64"/>
    <x v="1"/>
    <s v="Retail"/>
    <s v="Sanjay"/>
    <s v="UPI"/>
    <s v="Cancelled"/>
  </r>
  <r>
    <s v="SO10084"/>
    <x v="138"/>
    <s v="C003"/>
    <x v="6"/>
    <s v="Bengaluru"/>
    <x v="1"/>
    <s v="Enterprise"/>
    <x v="4"/>
    <x v="4"/>
    <x v="2"/>
    <s v="Dock"/>
    <n v="2"/>
    <n v="8900"/>
    <n v="0.15"/>
    <n v="17800"/>
    <n v="2670"/>
    <x v="130"/>
    <n v="11061.04"/>
    <x v="155"/>
    <s v="Online"/>
    <s v="Sneha"/>
    <s v="Bank Transfer"/>
    <s v="Completed"/>
  </r>
  <r>
    <s v="SO10075"/>
    <x v="139"/>
    <s v="C011"/>
    <x v="18"/>
    <s v="Lucknow"/>
    <x v="0"/>
    <s v="Mid-Market"/>
    <x v="1"/>
    <x v="1"/>
    <x v="1"/>
    <s v="Premium Laptop"/>
    <n v="6"/>
    <n v="78000"/>
    <n v="0"/>
    <n v="468000"/>
    <n v="0"/>
    <x v="131"/>
    <n v="326201.61"/>
    <x v="156"/>
    <s v="Retail"/>
    <s v="Amit"/>
    <s v="Bank Transfer"/>
    <s v="Completed"/>
  </r>
  <r>
    <s v="SO10184"/>
    <x v="140"/>
    <s v="C011"/>
    <x v="18"/>
    <s v="Lucknow"/>
    <x v="0"/>
    <s v="Mid-Market"/>
    <x v="2"/>
    <x v="2"/>
    <x v="1"/>
    <s v="Monitor"/>
    <n v="8"/>
    <n v="14500"/>
    <n v="0.05"/>
    <n v="116000"/>
    <n v="5800"/>
    <x v="132"/>
    <n v="88362.16"/>
    <x v="157"/>
    <s v="Retail"/>
    <s v="Ravi"/>
    <s v="Net Banking"/>
    <s v="Returned"/>
  </r>
  <r>
    <s v="SO10176"/>
    <x v="141"/>
    <s v="C003"/>
    <x v="6"/>
    <s v="Bengaluru"/>
    <x v="1"/>
    <s v="Enterprise"/>
    <x v="6"/>
    <x v="6"/>
    <x v="1"/>
    <s v="Standard Laptop"/>
    <n v="1"/>
    <n v="62000"/>
    <n v="0.2"/>
    <n v="62000"/>
    <n v="12400"/>
    <x v="133"/>
    <n v="34903.03"/>
    <x v="158"/>
    <s v="Partner"/>
    <s v="Sneha"/>
    <s v="Bank Transfer"/>
    <s v="Completed"/>
  </r>
  <r>
    <s v="SO10219"/>
    <x v="142"/>
    <s v="C007"/>
    <x v="7"/>
    <s v="Pune"/>
    <x v="3"/>
    <s v="Mid-Market"/>
    <x v="4"/>
    <x v="4"/>
    <x v="2"/>
    <s v="Dock"/>
    <n v="8"/>
    <n v="8900"/>
    <n v="0.2"/>
    <n v="71200"/>
    <n v="14240"/>
    <x v="1"/>
    <n v="42980.68"/>
    <x v="1"/>
    <s v="Online"/>
    <s v="Kavita"/>
    <s v="UPI"/>
    <s v="Cancelled"/>
  </r>
  <r>
    <s v="SO10198"/>
    <x v="143"/>
    <s v="C005"/>
    <x v="11"/>
    <s v="Ahmedabad"/>
    <x v="3"/>
    <s v="Mid-Market"/>
    <x v="4"/>
    <x v="4"/>
    <x v="2"/>
    <s v="Dock"/>
    <n v="1"/>
    <n v="8900"/>
    <n v="0"/>
    <n v="8900"/>
    <n v="0"/>
    <x v="81"/>
    <n v="6268.67"/>
    <x v="159"/>
    <s v="Online"/>
    <s v="Sneha"/>
    <s v="Bank Transfer"/>
    <s v="Completed"/>
  </r>
  <r>
    <s v="SO10211"/>
    <x v="144"/>
    <s v="C003"/>
    <x v="6"/>
    <s v="Bengaluru"/>
    <x v="1"/>
    <s v="Enterprise"/>
    <x v="4"/>
    <x v="4"/>
    <x v="2"/>
    <s v="Dock"/>
    <n v="8"/>
    <n v="8900"/>
    <n v="0.15"/>
    <n v="71200"/>
    <n v="10680"/>
    <x v="134"/>
    <n v="39164.49"/>
    <x v="160"/>
    <s v="Partner"/>
    <s v="Kavita"/>
    <s v="Credit Card"/>
    <s v="Returned"/>
  </r>
  <r>
    <s v="SO10238"/>
    <x v="144"/>
    <s v="C002"/>
    <x v="5"/>
    <s v="Mumbai"/>
    <x v="3"/>
    <s v="SMB"/>
    <x v="0"/>
    <x v="0"/>
    <x v="0"/>
    <s v="Desk"/>
    <n v="4"/>
    <n v="22000"/>
    <n v="0.15"/>
    <n v="88000"/>
    <n v="13200"/>
    <x v="135"/>
    <n v="53018.12"/>
    <x v="161"/>
    <s v="Retail"/>
    <s v="Kavita"/>
    <s v="Net Banking"/>
    <s v="Completed"/>
  </r>
  <r>
    <s v="SO10264"/>
    <x v="144"/>
    <s v="C001"/>
    <x v="19"/>
    <s v="Delhi"/>
    <x v="0"/>
    <s v="Enterprise"/>
    <x v="8"/>
    <x v="8"/>
    <x v="2"/>
    <s v="Keyboard"/>
    <n v="8"/>
    <n v="3200"/>
    <n v="0.05"/>
    <n v="25600"/>
    <n v="1280"/>
    <x v="1"/>
    <n v="14458.44"/>
    <x v="1"/>
    <s v="Partner"/>
    <s v="Kavita"/>
    <s v="Net Banking"/>
    <s v="Cancelled"/>
  </r>
  <r>
    <s v="SO10016"/>
    <x v="145"/>
    <s v="C017"/>
    <x v="13"/>
    <s v="Chandigarh"/>
    <x v="0"/>
    <s v="Enterprise"/>
    <x v="2"/>
    <x v="2"/>
    <x v="1"/>
    <s v="Monitor"/>
    <n v="2"/>
    <n v="14500"/>
    <n v="0.2"/>
    <n v="29000"/>
    <n v="5800"/>
    <x v="1"/>
    <n v="15117.74"/>
    <x v="1"/>
    <s v="Partner"/>
    <s v="Kavita"/>
    <s v="UPI"/>
    <s v="Cancelled"/>
  </r>
  <r>
    <s v="SO10049"/>
    <x v="145"/>
    <s v="C004"/>
    <x v="12"/>
    <s v="Hyderabad"/>
    <x v="1"/>
    <s v="SMB"/>
    <x v="5"/>
    <x v="5"/>
    <x v="2"/>
    <s v="Mouse"/>
    <n v="5"/>
    <n v="1800"/>
    <n v="0.2"/>
    <n v="9000"/>
    <n v="1800"/>
    <x v="67"/>
    <n v="4881.7"/>
    <x v="162"/>
    <s v="Partner"/>
    <s v="Amit"/>
    <s v="UPI"/>
    <s v="Completed"/>
  </r>
  <r>
    <s v="SO10139"/>
    <x v="145"/>
    <s v="C004"/>
    <x v="12"/>
    <s v="Hyderabad"/>
    <x v="1"/>
    <s v="SMB"/>
    <x v="7"/>
    <x v="7"/>
    <x v="1"/>
    <s v="Camera"/>
    <n v="4"/>
    <n v="16500"/>
    <n v="0"/>
    <n v="66000"/>
    <n v="0"/>
    <x v="75"/>
    <n v="48682.7"/>
    <x v="163"/>
    <s v="Online"/>
    <s v="Amit"/>
    <s v="Bank Transfer"/>
    <s v="Completed"/>
  </r>
  <r>
    <s v="SO10215"/>
    <x v="145"/>
    <s v="C019"/>
    <x v="9"/>
    <s v="Indore"/>
    <x v="4"/>
    <s v="Mid-Market"/>
    <x v="3"/>
    <x v="3"/>
    <x v="2"/>
    <s v="Headset"/>
    <n v="8"/>
    <n v="4200"/>
    <n v="0.2"/>
    <n v="33600"/>
    <n v="6720"/>
    <x v="136"/>
    <n v="19221.939999999999"/>
    <x v="164"/>
    <s v="Online"/>
    <s v="Amit"/>
    <s v="Bank Transfer"/>
    <s v="Completed"/>
  </r>
  <r>
    <s v="SO10100"/>
    <x v="146"/>
    <s v="C016"/>
    <x v="1"/>
    <s v="Coimbatore"/>
    <x v="1"/>
    <s v="SMB"/>
    <x v="5"/>
    <x v="5"/>
    <x v="2"/>
    <s v="Mouse"/>
    <n v="5"/>
    <n v="1800"/>
    <n v="0.1"/>
    <n v="9000"/>
    <n v="900"/>
    <x v="137"/>
    <n v="6320.7"/>
    <x v="165"/>
    <s v="Online"/>
    <s v="Neeraj"/>
    <s v="UPI"/>
    <s v="Completed"/>
  </r>
  <r>
    <s v="SO10194"/>
    <x v="146"/>
    <s v="C006"/>
    <x v="4"/>
    <s v="Kolkata"/>
    <x v="2"/>
    <s v="SMB"/>
    <x v="3"/>
    <x v="3"/>
    <x v="2"/>
    <s v="Headset"/>
    <n v="4"/>
    <n v="4200"/>
    <n v="0"/>
    <n v="16800"/>
    <n v="0"/>
    <x v="114"/>
    <n v="13716.05"/>
    <x v="166"/>
    <s v="Online"/>
    <s v="Neeraj"/>
    <s v="Credit Card"/>
    <s v="Completed"/>
  </r>
  <r>
    <s v="SO10047"/>
    <x v="147"/>
    <s v="C014"/>
    <x v="17"/>
    <s v="Surat"/>
    <x v="3"/>
    <s v="SMB"/>
    <x v="7"/>
    <x v="7"/>
    <x v="1"/>
    <s v="Camera"/>
    <n v="2"/>
    <n v="16500"/>
    <n v="0.1"/>
    <n v="33000"/>
    <n v="3300"/>
    <x v="138"/>
    <n v="23637.67"/>
    <x v="167"/>
    <s v="Retail"/>
    <s v="Ravi"/>
    <s v="Net Banking"/>
    <s v="Completed"/>
  </r>
  <r>
    <s v="SO10292"/>
    <x v="147"/>
    <s v="C009"/>
    <x v="3"/>
    <s v="Chennai"/>
    <x v="1"/>
    <s v="Enterprise"/>
    <x v="8"/>
    <x v="8"/>
    <x v="2"/>
    <s v="Keyboard"/>
    <n v="4"/>
    <n v="3200"/>
    <n v="0.1"/>
    <n v="12800"/>
    <n v="1280"/>
    <x v="77"/>
    <n v="7715.97"/>
    <x v="168"/>
    <s v="Partner"/>
    <s v="Kavita"/>
    <s v="UPI"/>
    <s v="Completed"/>
  </r>
  <r>
    <s v="SO10096"/>
    <x v="148"/>
    <s v="C004"/>
    <x v="12"/>
    <s v="Hyderabad"/>
    <x v="1"/>
    <s v="SMB"/>
    <x v="4"/>
    <x v="4"/>
    <x v="2"/>
    <s v="Dock"/>
    <n v="1"/>
    <n v="8900"/>
    <n v="0.2"/>
    <n v="8900"/>
    <n v="1780"/>
    <x v="139"/>
    <n v="5615.18"/>
    <x v="169"/>
    <s v="Retail"/>
    <s v="Ravi"/>
    <s v="UPI"/>
    <s v="Completed"/>
  </r>
  <r>
    <s v="SO10296"/>
    <x v="149"/>
    <s v="C006"/>
    <x v="4"/>
    <s v="Kolkata"/>
    <x v="2"/>
    <s v="SMB"/>
    <x v="8"/>
    <x v="8"/>
    <x v="2"/>
    <s v="Keyboard"/>
    <n v="3"/>
    <n v="3200"/>
    <n v="0.15"/>
    <n v="9600"/>
    <n v="1440"/>
    <x v="140"/>
    <n v="5046.41"/>
    <x v="170"/>
    <s v="Retail"/>
    <s v="Neeraj"/>
    <s v="UPI"/>
    <s v="Returned"/>
  </r>
  <r>
    <s v="SO10191"/>
    <x v="150"/>
    <s v="C006"/>
    <x v="4"/>
    <s v="Kolkata"/>
    <x v="2"/>
    <s v="SMB"/>
    <x v="9"/>
    <x v="9"/>
    <x v="0"/>
    <s v="Chair"/>
    <n v="7"/>
    <n v="12500"/>
    <n v="0.15"/>
    <n v="87500"/>
    <n v="13125"/>
    <x v="83"/>
    <n v="45239.53"/>
    <x v="171"/>
    <s v="Partner"/>
    <s v="Neeraj"/>
    <s v="UPI"/>
    <s v="Completed"/>
  </r>
  <r>
    <s v="SO10199"/>
    <x v="150"/>
    <s v="C008"/>
    <x v="10"/>
    <s v="Jaipur"/>
    <x v="0"/>
    <s v="SMB"/>
    <x v="3"/>
    <x v="3"/>
    <x v="2"/>
    <s v="Headset"/>
    <n v="5"/>
    <n v="4200"/>
    <n v="0"/>
    <n v="21000"/>
    <n v="0"/>
    <x v="1"/>
    <n v="13443.05"/>
    <x v="1"/>
    <s v="Partner"/>
    <s v="Amit"/>
    <s v="UPI"/>
    <s v="Cancelled"/>
  </r>
  <r>
    <s v="SO10073"/>
    <x v="151"/>
    <s v="C014"/>
    <x v="17"/>
    <s v="Surat"/>
    <x v="3"/>
    <s v="SMB"/>
    <x v="2"/>
    <x v="2"/>
    <x v="1"/>
    <s v="Monitor"/>
    <n v="5"/>
    <n v="14500"/>
    <n v="0.15"/>
    <n v="72500"/>
    <n v="10875"/>
    <x v="141"/>
    <n v="47695.77"/>
    <x v="172"/>
    <s v="Retail"/>
    <s v="Neeraj"/>
    <s v="Net Banking"/>
    <s v="Returned"/>
  </r>
  <r>
    <s v="SO10267"/>
    <x v="152"/>
    <s v="C007"/>
    <x v="7"/>
    <s v="Pune"/>
    <x v="3"/>
    <s v="Mid-Market"/>
    <x v="7"/>
    <x v="7"/>
    <x v="1"/>
    <s v="Camera"/>
    <n v="5"/>
    <n v="16500"/>
    <n v="0.05"/>
    <n v="82500"/>
    <n v="4125"/>
    <x v="142"/>
    <n v="50485.88"/>
    <x v="173"/>
    <s v="Online"/>
    <s v="Amit"/>
    <s v="Net Banking"/>
    <s v="Completed"/>
  </r>
  <r>
    <s v="SO10134"/>
    <x v="153"/>
    <s v="C013"/>
    <x v="0"/>
    <s v="Noida"/>
    <x v="0"/>
    <s v="Enterprise"/>
    <x v="7"/>
    <x v="7"/>
    <x v="1"/>
    <s v="Camera"/>
    <n v="5"/>
    <n v="16500"/>
    <n v="0.1"/>
    <n v="82500"/>
    <n v="8250"/>
    <x v="143"/>
    <n v="52073.919999999998"/>
    <x v="174"/>
    <s v="Online"/>
    <s v="Sanjay"/>
    <s v="Credit Card"/>
    <s v="Completed"/>
  </r>
  <r>
    <s v="SO10190"/>
    <x v="153"/>
    <s v="C019"/>
    <x v="9"/>
    <s v="Indore"/>
    <x v="4"/>
    <s v="Mid-Market"/>
    <x v="2"/>
    <x v="2"/>
    <x v="1"/>
    <s v="Monitor"/>
    <n v="6"/>
    <n v="14500"/>
    <n v="0.1"/>
    <n v="87000"/>
    <n v="8700"/>
    <x v="144"/>
    <n v="51321.93"/>
    <x v="175"/>
    <s v="Online"/>
    <s v="Ravi"/>
    <s v="Credit Card"/>
    <s v="Completed"/>
  </r>
  <r>
    <s v="SO10200"/>
    <x v="154"/>
    <s v="C010"/>
    <x v="2"/>
    <s v="Kochi"/>
    <x v="1"/>
    <s v="SMB"/>
    <x v="7"/>
    <x v="7"/>
    <x v="1"/>
    <s v="Camera"/>
    <n v="2"/>
    <n v="16500"/>
    <n v="0.15"/>
    <n v="33000"/>
    <n v="4950"/>
    <x v="145"/>
    <n v="20584.13"/>
    <x v="176"/>
    <s v="Partner"/>
    <s v="Sneha"/>
    <s v="UPI"/>
    <s v="Returned"/>
  </r>
  <r>
    <s v="SO10048"/>
    <x v="155"/>
    <s v="C001"/>
    <x v="19"/>
    <s v="Delhi"/>
    <x v="0"/>
    <s v="Enterprise"/>
    <x v="0"/>
    <x v="0"/>
    <x v="0"/>
    <s v="Desk"/>
    <n v="4"/>
    <n v="22000"/>
    <n v="0.05"/>
    <n v="88000"/>
    <n v="4400"/>
    <x v="1"/>
    <n v="57141.55"/>
    <x v="1"/>
    <s v="Retail"/>
    <s v="Kavita"/>
    <s v="Bank Transfer"/>
    <s v="Cancelled"/>
  </r>
  <r>
    <s v="SO10244"/>
    <x v="155"/>
    <s v="C004"/>
    <x v="12"/>
    <s v="Hyderabad"/>
    <x v="1"/>
    <s v="SMB"/>
    <x v="2"/>
    <x v="2"/>
    <x v="1"/>
    <s v="Monitor"/>
    <n v="7"/>
    <n v="14500"/>
    <n v="0.15"/>
    <n v="101500"/>
    <n v="15225"/>
    <x v="32"/>
    <n v="52676.35"/>
    <x v="177"/>
    <s v="Online"/>
    <s v="Ravi"/>
    <s v="Bank Transfer"/>
    <s v="Completed"/>
  </r>
  <r>
    <s v="SO10107"/>
    <x v="156"/>
    <s v="C011"/>
    <x v="18"/>
    <s v="Lucknow"/>
    <x v="0"/>
    <s v="Mid-Market"/>
    <x v="9"/>
    <x v="9"/>
    <x v="0"/>
    <s v="Chair"/>
    <n v="1"/>
    <n v="12500"/>
    <n v="0.15"/>
    <n v="12500"/>
    <n v="1875"/>
    <x v="1"/>
    <n v="6336.97"/>
    <x v="1"/>
    <s v="Partner"/>
    <s v="Amit"/>
    <s v="UPI"/>
    <s v="Cancelled"/>
  </r>
  <r>
    <s v="SO10039"/>
    <x v="157"/>
    <s v="C006"/>
    <x v="4"/>
    <s v="Kolkata"/>
    <x v="2"/>
    <s v="SMB"/>
    <x v="9"/>
    <x v="9"/>
    <x v="0"/>
    <s v="Chair"/>
    <n v="7"/>
    <n v="12500"/>
    <n v="0.15"/>
    <n v="87500"/>
    <n v="13125"/>
    <x v="83"/>
    <n v="43310.1"/>
    <x v="178"/>
    <s v="Partner"/>
    <s v="Sneha"/>
    <s v="Credit Card"/>
    <s v="Completed"/>
  </r>
  <r>
    <s v="SO10040"/>
    <x v="157"/>
    <s v="C012"/>
    <x v="16"/>
    <s v="Bhubaneswar"/>
    <x v="2"/>
    <s v="SMB"/>
    <x v="7"/>
    <x v="7"/>
    <x v="1"/>
    <s v="Camera"/>
    <n v="3"/>
    <n v="16500"/>
    <n v="0.1"/>
    <n v="49500"/>
    <n v="4950"/>
    <x v="17"/>
    <n v="27201.65"/>
    <x v="179"/>
    <s v="Retail"/>
    <s v="Ravi"/>
    <s v="Bank Transfer"/>
    <s v="Completed"/>
  </r>
  <r>
    <s v="SO10260"/>
    <x v="158"/>
    <s v="C001"/>
    <x v="19"/>
    <s v="Delhi"/>
    <x v="0"/>
    <s v="Enterprise"/>
    <x v="5"/>
    <x v="5"/>
    <x v="2"/>
    <s v="Mouse"/>
    <n v="7"/>
    <n v="1800"/>
    <n v="0.05"/>
    <n v="12600"/>
    <n v="630"/>
    <x v="146"/>
    <n v="7380.45"/>
    <x v="180"/>
    <s v="Online"/>
    <s v="Neeraj"/>
    <s v="UPI"/>
    <s v="Completed"/>
  </r>
  <r>
    <s v="SO10076"/>
    <x v="159"/>
    <s v="C020"/>
    <x v="8"/>
    <s v="Nagpur"/>
    <x v="4"/>
    <s v="SMB"/>
    <x v="5"/>
    <x v="5"/>
    <x v="2"/>
    <s v="Mouse"/>
    <n v="1"/>
    <n v="1800"/>
    <n v="0.15"/>
    <n v="1800"/>
    <n v="270"/>
    <x v="147"/>
    <n v="1235.53"/>
    <x v="181"/>
    <s v="Online"/>
    <s v="Sanjay"/>
    <s v="Net Banking"/>
    <s v="Completed"/>
  </r>
  <r>
    <s v="SO10119"/>
    <x v="160"/>
    <s v="C008"/>
    <x v="10"/>
    <s v="Jaipur"/>
    <x v="0"/>
    <s v="SMB"/>
    <x v="4"/>
    <x v="4"/>
    <x v="2"/>
    <s v="Dock"/>
    <n v="6"/>
    <n v="8900"/>
    <n v="0"/>
    <n v="53400"/>
    <n v="0"/>
    <x v="34"/>
    <n v="41105.379999999997"/>
    <x v="182"/>
    <s v="Retail"/>
    <s v="Kavita"/>
    <s v="Credit Card"/>
    <s v="Completed"/>
  </r>
  <r>
    <s v="SO10161"/>
    <x v="160"/>
    <s v="C011"/>
    <x v="18"/>
    <s v="Lucknow"/>
    <x v="0"/>
    <s v="Mid-Market"/>
    <x v="6"/>
    <x v="6"/>
    <x v="1"/>
    <s v="Standard Laptop"/>
    <n v="7"/>
    <n v="62000"/>
    <n v="0.05"/>
    <n v="434000"/>
    <n v="21700"/>
    <x v="1"/>
    <n v="264069.49"/>
    <x v="1"/>
    <s v="Partner"/>
    <s v="Sneha"/>
    <s v="Bank Transfer"/>
    <s v="Cancelled"/>
  </r>
  <r>
    <s v="SO10291"/>
    <x v="161"/>
    <s v="C020"/>
    <x v="8"/>
    <s v="Nagpur"/>
    <x v="4"/>
    <s v="SMB"/>
    <x v="1"/>
    <x v="1"/>
    <x v="1"/>
    <s v="Premium Laptop"/>
    <n v="7"/>
    <n v="78000"/>
    <n v="0.05"/>
    <n v="546000"/>
    <n v="27300"/>
    <x v="36"/>
    <n v="421066.15"/>
    <x v="183"/>
    <s v="Online"/>
    <s v="Ravi"/>
    <s v="Credit Card"/>
    <s v="Completed"/>
  </r>
  <r>
    <s v="SO10071"/>
    <x v="162"/>
    <s v="C020"/>
    <x v="8"/>
    <s v="Nagpur"/>
    <x v="4"/>
    <s v="SMB"/>
    <x v="6"/>
    <x v="6"/>
    <x v="1"/>
    <s v="Standard Laptop"/>
    <n v="1"/>
    <n v="62000"/>
    <n v="0.05"/>
    <n v="62000"/>
    <n v="3100"/>
    <x v="1"/>
    <n v="41692.89"/>
    <x v="1"/>
    <s v="Retail"/>
    <s v="Ravi"/>
    <s v="Bank Transfer"/>
    <s v="Cancelled"/>
  </r>
  <r>
    <s v="SO10142"/>
    <x v="162"/>
    <s v="C006"/>
    <x v="4"/>
    <s v="Kolkata"/>
    <x v="2"/>
    <s v="SMB"/>
    <x v="2"/>
    <x v="2"/>
    <x v="1"/>
    <s v="Monitor"/>
    <n v="7"/>
    <n v="14500"/>
    <n v="0"/>
    <n v="101500"/>
    <n v="0"/>
    <x v="1"/>
    <n v="62326.07"/>
    <x v="1"/>
    <s v="Online"/>
    <s v="Ravi"/>
    <s v="UPI"/>
    <s v="Cancelled"/>
  </r>
  <r>
    <s v="SO10023"/>
    <x v="163"/>
    <s v="C018"/>
    <x v="14"/>
    <s v="Thiruvananthapuram"/>
    <x v="1"/>
    <s v="SMB"/>
    <x v="2"/>
    <x v="2"/>
    <x v="1"/>
    <s v="Monitor"/>
    <n v="8"/>
    <n v="14500"/>
    <n v="0"/>
    <n v="116000"/>
    <n v="0"/>
    <x v="25"/>
    <n v="89123.8"/>
    <x v="184"/>
    <s v="Online"/>
    <s v="Ravi"/>
    <s v="Credit Card"/>
    <s v="Completed"/>
  </r>
  <r>
    <s v="SO10140"/>
    <x v="164"/>
    <s v="C004"/>
    <x v="12"/>
    <s v="Hyderabad"/>
    <x v="1"/>
    <s v="SMB"/>
    <x v="5"/>
    <x v="5"/>
    <x v="2"/>
    <s v="Mouse"/>
    <n v="4"/>
    <n v="1800"/>
    <n v="0.1"/>
    <n v="7200"/>
    <n v="720"/>
    <x v="148"/>
    <n v="5072.79"/>
    <x v="185"/>
    <s v="Partner"/>
    <s v="Sanjay"/>
    <s v="Credit Card"/>
    <s v="Returned"/>
  </r>
  <r>
    <s v="SO10195"/>
    <x v="164"/>
    <s v="C012"/>
    <x v="16"/>
    <s v="Bhubaneswar"/>
    <x v="2"/>
    <s v="SMB"/>
    <x v="0"/>
    <x v="0"/>
    <x v="0"/>
    <s v="Desk"/>
    <n v="6"/>
    <n v="22000"/>
    <n v="0.1"/>
    <n v="132000"/>
    <n v="13200"/>
    <x v="149"/>
    <n v="91818"/>
    <x v="186"/>
    <s v="Online"/>
    <s v="Kavita"/>
    <s v="Credit Card"/>
    <s v="Returned"/>
  </r>
  <r>
    <s v="SO10223"/>
    <x v="164"/>
    <s v="C010"/>
    <x v="2"/>
    <s v="Kochi"/>
    <x v="1"/>
    <s v="SMB"/>
    <x v="6"/>
    <x v="6"/>
    <x v="1"/>
    <s v="Standard Laptop"/>
    <n v="7"/>
    <n v="62000"/>
    <n v="0.1"/>
    <n v="434000"/>
    <n v="43400"/>
    <x v="150"/>
    <n v="303265.98"/>
    <x v="187"/>
    <s v="Retail"/>
    <s v="Ravi"/>
    <s v="Bank Transfer"/>
    <s v="Completed"/>
  </r>
  <r>
    <s v="SO10007"/>
    <x v="165"/>
    <s v="C020"/>
    <x v="8"/>
    <s v="Nagpur"/>
    <x v="4"/>
    <s v="SMB"/>
    <x v="3"/>
    <x v="3"/>
    <x v="2"/>
    <s v="Headset"/>
    <n v="4"/>
    <n v="4200"/>
    <n v="0.2"/>
    <n v="16800"/>
    <n v="3360"/>
    <x v="1"/>
    <n v="8019.56"/>
    <x v="1"/>
    <s v="Online"/>
    <s v="Amit"/>
    <s v="Credit Card"/>
    <s v="Cancelled"/>
  </r>
  <r>
    <s v="SO10217"/>
    <x v="165"/>
    <s v="C009"/>
    <x v="3"/>
    <s v="Chennai"/>
    <x v="1"/>
    <s v="Enterprise"/>
    <x v="7"/>
    <x v="7"/>
    <x v="1"/>
    <s v="Camera"/>
    <n v="4"/>
    <n v="16500"/>
    <n v="0.2"/>
    <n v="66000"/>
    <n v="13200"/>
    <x v="151"/>
    <n v="31274.77"/>
    <x v="188"/>
    <s v="Online"/>
    <s v="Kavita"/>
    <s v="Net Banking"/>
    <s v="Completed"/>
  </r>
  <r>
    <s v="SO10046"/>
    <x v="166"/>
    <s v="C009"/>
    <x v="3"/>
    <s v="Chennai"/>
    <x v="1"/>
    <s v="Enterprise"/>
    <x v="2"/>
    <x v="2"/>
    <x v="1"/>
    <s v="Monitor"/>
    <n v="5"/>
    <n v="14500"/>
    <n v="0"/>
    <n v="72500"/>
    <n v="0"/>
    <x v="152"/>
    <n v="43936.2"/>
    <x v="189"/>
    <s v="Retail"/>
    <s v="Sanjay"/>
    <s v="Bank Transfer"/>
    <s v="Completed"/>
  </r>
  <r>
    <s v="SO10216"/>
    <x v="167"/>
    <s v="C004"/>
    <x v="12"/>
    <s v="Hyderabad"/>
    <x v="1"/>
    <s v="SMB"/>
    <x v="4"/>
    <x v="4"/>
    <x v="2"/>
    <s v="Dock"/>
    <n v="5"/>
    <n v="8900"/>
    <n v="0.2"/>
    <n v="44500"/>
    <n v="8900"/>
    <x v="1"/>
    <n v="28099.21"/>
    <x v="1"/>
    <s v="Online"/>
    <s v="Kavita"/>
    <s v="Net Banking"/>
    <s v="Cancelled"/>
  </r>
  <r>
    <s v="SO10239"/>
    <x v="167"/>
    <s v="C004"/>
    <x v="12"/>
    <s v="Hyderabad"/>
    <x v="1"/>
    <s v="SMB"/>
    <x v="8"/>
    <x v="8"/>
    <x v="2"/>
    <s v="Keyboard"/>
    <n v="8"/>
    <n v="3200"/>
    <n v="0"/>
    <n v="25600"/>
    <n v="0"/>
    <x v="111"/>
    <n v="20370.78"/>
    <x v="190"/>
    <s v="Online"/>
    <s v="Neeraj"/>
    <s v="UPI"/>
    <s v="Completed"/>
  </r>
  <r>
    <s v="SO10289"/>
    <x v="167"/>
    <s v="C020"/>
    <x v="8"/>
    <s v="Nagpur"/>
    <x v="4"/>
    <s v="SMB"/>
    <x v="9"/>
    <x v="9"/>
    <x v="0"/>
    <s v="Chair"/>
    <n v="7"/>
    <n v="12500"/>
    <n v="0.15"/>
    <n v="87500"/>
    <n v="13125"/>
    <x v="1"/>
    <n v="52180.54"/>
    <x v="1"/>
    <s v="Retail"/>
    <s v="Kavita"/>
    <s v="Credit Card"/>
    <s v="Cancelled"/>
  </r>
  <r>
    <s v="SO10030"/>
    <x v="168"/>
    <s v="C002"/>
    <x v="5"/>
    <s v="Mumbai"/>
    <x v="3"/>
    <s v="SMB"/>
    <x v="1"/>
    <x v="1"/>
    <x v="1"/>
    <s v="Premium Laptop"/>
    <n v="8"/>
    <n v="78000"/>
    <n v="0.15"/>
    <n v="624000"/>
    <n v="93600"/>
    <x v="153"/>
    <n v="424666.3"/>
    <x v="191"/>
    <s v="Online"/>
    <s v="Ravi"/>
    <s v="Credit Card"/>
    <s v="Returned"/>
  </r>
  <r>
    <s v="SO10301"/>
    <x v="169"/>
    <s v="C010"/>
    <x v="2"/>
    <s v="Kochi"/>
    <x v="1"/>
    <s v="SMB"/>
    <x v="7"/>
    <x v="7"/>
    <x v="1"/>
    <s v="Camera"/>
    <n v="2"/>
    <n v="16500"/>
    <n v="0.2"/>
    <n v="33000"/>
    <n v="6600"/>
    <x v="154"/>
    <n v="16160.69"/>
    <x v="192"/>
    <s v="Online"/>
    <s v="Amit"/>
    <s v="Credit Card"/>
    <s v="Completed"/>
  </r>
  <r>
    <s v="SO10031"/>
    <x v="170"/>
    <s v="C006"/>
    <x v="4"/>
    <s v="Kolkata"/>
    <x v="2"/>
    <s v="SMB"/>
    <x v="6"/>
    <x v="6"/>
    <x v="1"/>
    <s v="Standard Laptop"/>
    <n v="2"/>
    <n v="62000"/>
    <n v="0.2"/>
    <n v="124000"/>
    <n v="24800"/>
    <x v="112"/>
    <n v="78054.19"/>
    <x v="193"/>
    <s v="Online"/>
    <s v="Kavita"/>
    <s v="UPI"/>
    <s v="Completed"/>
  </r>
  <r>
    <s v="SO10157"/>
    <x v="170"/>
    <s v="C003"/>
    <x v="6"/>
    <s v="Bengaluru"/>
    <x v="1"/>
    <s v="Enterprise"/>
    <x v="7"/>
    <x v="7"/>
    <x v="1"/>
    <s v="Camera"/>
    <n v="7"/>
    <n v="16500"/>
    <n v="0.1"/>
    <n v="115500"/>
    <n v="11550"/>
    <x v="1"/>
    <n v="74769.06"/>
    <x v="1"/>
    <s v="Online"/>
    <s v="Neeraj"/>
    <s v="UPI"/>
    <s v="Cancelled"/>
  </r>
  <r>
    <s v="SO10290"/>
    <x v="170"/>
    <s v="C012"/>
    <x v="16"/>
    <s v="Bhubaneswar"/>
    <x v="2"/>
    <s v="SMB"/>
    <x v="0"/>
    <x v="0"/>
    <x v="0"/>
    <s v="Desk"/>
    <n v="2"/>
    <n v="22000"/>
    <n v="0"/>
    <n v="44000"/>
    <n v="0"/>
    <x v="1"/>
    <n v="33640.15"/>
    <x v="1"/>
    <s v="Partner"/>
    <s v="Amit"/>
    <s v="UPI"/>
    <s v="Cancelled"/>
  </r>
  <r>
    <s v="SO10014"/>
    <x v="171"/>
    <s v="C006"/>
    <x v="4"/>
    <s v="Kolkata"/>
    <x v="2"/>
    <s v="SMB"/>
    <x v="4"/>
    <x v="4"/>
    <x v="2"/>
    <s v="Dock"/>
    <n v="2"/>
    <n v="8900"/>
    <n v="0.1"/>
    <n v="17800"/>
    <n v="1780"/>
    <x v="37"/>
    <n v="10758.85"/>
    <x v="194"/>
    <s v="Partner"/>
    <s v="Amit"/>
    <s v="Credit Card"/>
    <s v="Completed"/>
  </r>
  <r>
    <s v="SO10101"/>
    <x v="172"/>
    <s v="C013"/>
    <x v="0"/>
    <s v="Noida"/>
    <x v="0"/>
    <s v="Enterprise"/>
    <x v="8"/>
    <x v="8"/>
    <x v="2"/>
    <s v="Keyboard"/>
    <n v="3"/>
    <n v="3200"/>
    <n v="0"/>
    <n v="9600"/>
    <n v="0"/>
    <x v="92"/>
    <n v="6204.47"/>
    <x v="195"/>
    <s v="Retail"/>
    <s v="Kavita"/>
    <s v="Bank Transfer"/>
    <s v="Completed"/>
  </r>
  <r>
    <s v="SO10185"/>
    <x v="173"/>
    <s v="C003"/>
    <x v="6"/>
    <s v="Bengaluru"/>
    <x v="1"/>
    <s v="Enterprise"/>
    <x v="4"/>
    <x v="4"/>
    <x v="2"/>
    <s v="Dock"/>
    <n v="3"/>
    <n v="8900"/>
    <n v="0.15"/>
    <n v="26700"/>
    <n v="4005"/>
    <x v="155"/>
    <n v="14763.19"/>
    <x v="196"/>
    <s v="Online"/>
    <s v="Amit"/>
    <s v="Bank Transfer"/>
    <s v="Completed"/>
  </r>
  <r>
    <s v="SO10186"/>
    <x v="173"/>
    <s v="C010"/>
    <x v="2"/>
    <s v="Kochi"/>
    <x v="1"/>
    <s v="SMB"/>
    <x v="9"/>
    <x v="9"/>
    <x v="0"/>
    <s v="Chair"/>
    <n v="7"/>
    <n v="12500"/>
    <n v="0"/>
    <n v="87500"/>
    <n v="0"/>
    <x v="156"/>
    <n v="65235.06"/>
    <x v="197"/>
    <s v="Retail"/>
    <s v="Ravi"/>
    <s v="Bank Transfer"/>
    <s v="Completed"/>
  </r>
  <r>
    <s v="SO10037"/>
    <x v="174"/>
    <s v="C009"/>
    <x v="3"/>
    <s v="Chennai"/>
    <x v="1"/>
    <s v="Enterprise"/>
    <x v="5"/>
    <x v="5"/>
    <x v="2"/>
    <s v="Mouse"/>
    <n v="4"/>
    <n v="1800"/>
    <n v="0.2"/>
    <n v="7200"/>
    <n v="1440"/>
    <x v="1"/>
    <n v="3814.8"/>
    <x v="1"/>
    <s v="Partner"/>
    <s v="Amit"/>
    <s v="Net Banking"/>
    <s v="Cancelled"/>
  </r>
  <r>
    <s v="SO10092"/>
    <x v="174"/>
    <s v="C014"/>
    <x v="17"/>
    <s v="Surat"/>
    <x v="3"/>
    <s v="SMB"/>
    <x v="3"/>
    <x v="3"/>
    <x v="2"/>
    <s v="Headset"/>
    <n v="5"/>
    <n v="4200"/>
    <n v="0"/>
    <n v="21000"/>
    <n v="0"/>
    <x v="1"/>
    <n v="12640.29"/>
    <x v="1"/>
    <s v="Partner"/>
    <s v="Kavita"/>
    <s v="Credit Card"/>
    <s v="Cancelled"/>
  </r>
  <r>
    <s v="SO10069"/>
    <x v="175"/>
    <s v="C006"/>
    <x v="4"/>
    <s v="Kolkata"/>
    <x v="2"/>
    <s v="SMB"/>
    <x v="7"/>
    <x v="7"/>
    <x v="1"/>
    <s v="Camera"/>
    <n v="2"/>
    <n v="16500"/>
    <n v="0"/>
    <n v="33000"/>
    <n v="0"/>
    <x v="157"/>
    <n v="26780.59"/>
    <x v="198"/>
    <s v="Partner"/>
    <s v="Ravi"/>
    <s v="Bank Transfer"/>
    <s v="Completed"/>
  </r>
  <r>
    <s v="SO10115"/>
    <x v="175"/>
    <s v="C010"/>
    <x v="2"/>
    <s v="Kochi"/>
    <x v="1"/>
    <s v="SMB"/>
    <x v="8"/>
    <x v="8"/>
    <x v="2"/>
    <s v="Keyboard"/>
    <n v="6"/>
    <n v="3200"/>
    <n v="0"/>
    <n v="19200"/>
    <n v="0"/>
    <x v="68"/>
    <n v="14069.54"/>
    <x v="199"/>
    <s v="Retail"/>
    <s v="Sanjay"/>
    <s v="UPI"/>
    <s v="Returned"/>
  </r>
  <r>
    <s v="SO10188"/>
    <x v="176"/>
    <s v="C001"/>
    <x v="19"/>
    <s v="Delhi"/>
    <x v="0"/>
    <s v="Enterprise"/>
    <x v="2"/>
    <x v="2"/>
    <x v="1"/>
    <s v="Monitor"/>
    <n v="8"/>
    <n v="14500"/>
    <n v="0"/>
    <n v="116000"/>
    <n v="0"/>
    <x v="25"/>
    <n v="70794.240000000005"/>
    <x v="200"/>
    <s v="Partner"/>
    <s v="Amit"/>
    <s v="Bank Transfer"/>
    <s v="Completed"/>
  </r>
  <r>
    <s v="SO10300"/>
    <x v="177"/>
    <s v="C020"/>
    <x v="8"/>
    <s v="Nagpur"/>
    <x v="4"/>
    <s v="SMB"/>
    <x v="4"/>
    <x v="4"/>
    <x v="2"/>
    <s v="Dock"/>
    <n v="7"/>
    <n v="8900"/>
    <n v="0.15"/>
    <n v="62300"/>
    <n v="9345"/>
    <x v="158"/>
    <n v="32165.7"/>
    <x v="201"/>
    <s v="Retail"/>
    <s v="Kavita"/>
    <s v="UPI"/>
    <s v="Completed"/>
  </r>
  <r>
    <s v="SO10177"/>
    <x v="178"/>
    <s v="C014"/>
    <x v="17"/>
    <s v="Surat"/>
    <x v="3"/>
    <s v="SMB"/>
    <x v="1"/>
    <x v="1"/>
    <x v="1"/>
    <s v="Premium Laptop"/>
    <n v="6"/>
    <n v="78000"/>
    <n v="0"/>
    <n v="468000"/>
    <n v="0"/>
    <x v="131"/>
    <n v="335536.95"/>
    <x v="202"/>
    <s v="Partner"/>
    <s v="Sanjay"/>
    <s v="Credit Card"/>
    <s v="Completed"/>
  </r>
  <r>
    <s v="SO10225"/>
    <x v="179"/>
    <s v="C005"/>
    <x v="11"/>
    <s v="Ahmedabad"/>
    <x v="3"/>
    <s v="Mid-Market"/>
    <x v="6"/>
    <x v="6"/>
    <x v="1"/>
    <s v="Standard Laptop"/>
    <n v="4"/>
    <n v="62000"/>
    <n v="0"/>
    <n v="248000"/>
    <n v="0"/>
    <x v="159"/>
    <n v="146861.56"/>
    <x v="203"/>
    <s v="Online"/>
    <s v="Sanjay"/>
    <s v="UPI"/>
    <s v="Returned"/>
  </r>
  <r>
    <s v="SO10202"/>
    <x v="180"/>
    <s v="C019"/>
    <x v="9"/>
    <s v="Indore"/>
    <x v="4"/>
    <s v="Mid-Market"/>
    <x v="4"/>
    <x v="4"/>
    <x v="2"/>
    <s v="Dock"/>
    <n v="1"/>
    <n v="8900"/>
    <n v="0.1"/>
    <n v="8900"/>
    <n v="890"/>
    <x v="102"/>
    <n v="6354.81"/>
    <x v="204"/>
    <s v="Retail"/>
    <s v="Sanjay"/>
    <s v="Bank Transfer"/>
    <s v="Returned"/>
  </r>
  <r>
    <s v="SO10121"/>
    <x v="181"/>
    <s v="C016"/>
    <x v="1"/>
    <s v="Coimbatore"/>
    <x v="1"/>
    <s v="SMB"/>
    <x v="1"/>
    <x v="1"/>
    <x v="1"/>
    <s v="Premium Laptop"/>
    <n v="6"/>
    <n v="78000"/>
    <n v="0.15"/>
    <n v="468000"/>
    <n v="70200"/>
    <x v="160"/>
    <n v="251858.37"/>
    <x v="205"/>
    <s v="Partner"/>
    <s v="Neeraj"/>
    <s v="Bank Transfer"/>
    <s v="Completed"/>
  </r>
  <r>
    <s v="SO10097"/>
    <x v="182"/>
    <s v="C017"/>
    <x v="13"/>
    <s v="Chandigarh"/>
    <x v="0"/>
    <s v="Enterprise"/>
    <x v="3"/>
    <x v="3"/>
    <x v="2"/>
    <s v="Headset"/>
    <n v="8"/>
    <n v="4200"/>
    <n v="0.2"/>
    <n v="33600"/>
    <n v="6720"/>
    <x v="136"/>
    <n v="18442.09"/>
    <x v="206"/>
    <s v="Online"/>
    <s v="Amit"/>
    <s v="UPI"/>
    <s v="Completed"/>
  </r>
  <r>
    <s v="SO10154"/>
    <x v="183"/>
    <s v="C003"/>
    <x v="6"/>
    <s v="Bengaluru"/>
    <x v="1"/>
    <s v="Enterprise"/>
    <x v="2"/>
    <x v="2"/>
    <x v="1"/>
    <s v="Monitor"/>
    <n v="8"/>
    <n v="14500"/>
    <n v="0.1"/>
    <n v="116000"/>
    <n v="11600"/>
    <x v="161"/>
    <n v="79455.39"/>
    <x v="207"/>
    <s v="Retail"/>
    <s v="Sanjay"/>
    <s v="Bank Transfer"/>
    <s v="Returned"/>
  </r>
  <r>
    <s v="SO10275"/>
    <x v="184"/>
    <s v="C011"/>
    <x v="18"/>
    <s v="Lucknow"/>
    <x v="0"/>
    <s v="Mid-Market"/>
    <x v="1"/>
    <x v="1"/>
    <x v="1"/>
    <s v="Premium Laptop"/>
    <n v="5"/>
    <n v="78000"/>
    <n v="0.1"/>
    <n v="390000"/>
    <n v="39000"/>
    <x v="97"/>
    <n v="244908.44"/>
    <x v="208"/>
    <s v="Partner"/>
    <s v="Neeraj"/>
    <s v="Net Banking"/>
    <s v="Completed"/>
  </r>
  <r>
    <s v="SO10045"/>
    <x v="185"/>
    <s v="C009"/>
    <x v="3"/>
    <s v="Chennai"/>
    <x v="1"/>
    <s v="Enterprise"/>
    <x v="3"/>
    <x v="3"/>
    <x v="2"/>
    <s v="Headset"/>
    <n v="7"/>
    <n v="4200"/>
    <n v="0.2"/>
    <n v="29400"/>
    <n v="5880"/>
    <x v="162"/>
    <n v="19179.990000000002"/>
    <x v="209"/>
    <s v="Retail"/>
    <s v="Ravi"/>
    <s v="Credit Card"/>
    <s v="Returned"/>
  </r>
  <r>
    <s v="SO10153"/>
    <x v="186"/>
    <s v="C012"/>
    <x v="16"/>
    <s v="Bhubaneswar"/>
    <x v="2"/>
    <s v="SMB"/>
    <x v="3"/>
    <x v="3"/>
    <x v="2"/>
    <s v="Headset"/>
    <n v="3"/>
    <n v="4200"/>
    <n v="0"/>
    <n v="12600"/>
    <n v="0"/>
    <x v="41"/>
    <n v="7618.88"/>
    <x v="210"/>
    <s v="Online"/>
    <s v="Sneha"/>
    <s v="UPI"/>
    <s v="Completed"/>
  </r>
  <r>
    <s v="SO10254"/>
    <x v="187"/>
    <s v="C007"/>
    <x v="7"/>
    <s v="Pune"/>
    <x v="3"/>
    <s v="Mid-Market"/>
    <x v="3"/>
    <x v="3"/>
    <x v="2"/>
    <s v="Headset"/>
    <n v="2"/>
    <n v="4200"/>
    <n v="0.1"/>
    <n v="8400"/>
    <n v="840"/>
    <x v="163"/>
    <n v="5921.84"/>
    <x v="211"/>
    <s v="Partner"/>
    <s v="Sanjay"/>
    <s v="UPI"/>
    <s v="Completed"/>
  </r>
  <r>
    <s v="SO10258"/>
    <x v="188"/>
    <s v="C015"/>
    <x v="15"/>
    <s v="Gurugram"/>
    <x v="0"/>
    <s v="Mid-Market"/>
    <x v="0"/>
    <x v="0"/>
    <x v="0"/>
    <s v="Desk"/>
    <n v="6"/>
    <n v="22000"/>
    <n v="0.05"/>
    <n v="132000"/>
    <n v="6600"/>
    <x v="164"/>
    <n v="80603.960000000006"/>
    <x v="212"/>
    <s v="Retail"/>
    <s v="Neeraj"/>
    <s v="Credit Card"/>
    <s v="Returned"/>
  </r>
  <r>
    <s v="SO10067"/>
    <x v="189"/>
    <s v="C008"/>
    <x v="10"/>
    <s v="Jaipur"/>
    <x v="0"/>
    <s v="SMB"/>
    <x v="6"/>
    <x v="6"/>
    <x v="1"/>
    <s v="Standard Laptop"/>
    <n v="1"/>
    <n v="62000"/>
    <n v="0"/>
    <n v="62000"/>
    <n v="0"/>
    <x v="44"/>
    <n v="50090.22"/>
    <x v="213"/>
    <s v="Online"/>
    <s v="Kavita"/>
    <s v="UPI"/>
    <s v="Completed"/>
  </r>
  <r>
    <s v="SO10209"/>
    <x v="190"/>
    <s v="C016"/>
    <x v="1"/>
    <s v="Coimbatore"/>
    <x v="1"/>
    <s v="SMB"/>
    <x v="7"/>
    <x v="7"/>
    <x v="1"/>
    <s v="Camera"/>
    <n v="8"/>
    <n v="16500"/>
    <n v="0.05"/>
    <n v="132000"/>
    <n v="6600"/>
    <x v="165"/>
    <n v="88884.24"/>
    <x v="214"/>
    <s v="Retail"/>
    <s v="Sneha"/>
    <s v="Bank Transfer"/>
    <s v="Completed"/>
  </r>
  <r>
    <s v="SO10261"/>
    <x v="191"/>
    <s v="C016"/>
    <x v="1"/>
    <s v="Coimbatore"/>
    <x v="1"/>
    <s v="SMB"/>
    <x v="0"/>
    <x v="0"/>
    <x v="0"/>
    <s v="Desk"/>
    <n v="6"/>
    <n v="22000"/>
    <n v="0.05"/>
    <n v="132000"/>
    <n v="6600"/>
    <x v="165"/>
    <n v="95706.1"/>
    <x v="215"/>
    <s v="Partner"/>
    <s v="Sanjay"/>
    <s v="Net Banking"/>
    <s v="Completed"/>
  </r>
  <r>
    <s v="SO10246"/>
    <x v="192"/>
    <s v="C004"/>
    <x v="12"/>
    <s v="Hyderabad"/>
    <x v="1"/>
    <s v="SMB"/>
    <x v="1"/>
    <x v="1"/>
    <x v="1"/>
    <s v="Premium Laptop"/>
    <n v="7"/>
    <n v="78000"/>
    <n v="0.15"/>
    <n v="546000"/>
    <n v="81900"/>
    <x v="166"/>
    <n v="354504.1"/>
    <x v="216"/>
    <s v="Online"/>
    <s v="Sneha"/>
    <s v="Credit Card"/>
    <s v="Completed"/>
  </r>
  <r>
    <s v="SO10276"/>
    <x v="192"/>
    <s v="C006"/>
    <x v="4"/>
    <s v="Kolkata"/>
    <x v="2"/>
    <s v="SMB"/>
    <x v="7"/>
    <x v="7"/>
    <x v="1"/>
    <s v="Camera"/>
    <n v="7"/>
    <n v="16500"/>
    <n v="0"/>
    <n v="115500"/>
    <n v="0"/>
    <x v="167"/>
    <n v="88394.48"/>
    <x v="217"/>
    <s v="Online"/>
    <s v="Sanjay"/>
    <s v="Credit Card"/>
    <s v="Completed"/>
  </r>
  <r>
    <s v="SO10036"/>
    <x v="193"/>
    <s v="C018"/>
    <x v="14"/>
    <s v="Thiruvananthapuram"/>
    <x v="1"/>
    <s v="SMB"/>
    <x v="5"/>
    <x v="5"/>
    <x v="2"/>
    <s v="Mouse"/>
    <n v="2"/>
    <n v="1800"/>
    <n v="0"/>
    <n v="3600"/>
    <n v="0"/>
    <x v="168"/>
    <n v="2316.5"/>
    <x v="218"/>
    <s v="Partner"/>
    <s v="Kavita"/>
    <s v="UPI"/>
    <s v="Completed"/>
  </r>
  <r>
    <s v="SO10053"/>
    <x v="193"/>
    <s v="C010"/>
    <x v="2"/>
    <s v="Kochi"/>
    <x v="1"/>
    <s v="SMB"/>
    <x v="0"/>
    <x v="0"/>
    <x v="0"/>
    <s v="Desk"/>
    <n v="6"/>
    <n v="22000"/>
    <n v="0"/>
    <n v="132000"/>
    <n v="0"/>
    <x v="61"/>
    <n v="102487.66"/>
    <x v="219"/>
    <s v="Partner"/>
    <s v="Amit"/>
    <s v="UPI"/>
    <s v="Completed"/>
  </r>
  <r>
    <s v="SO10104"/>
    <x v="193"/>
    <s v="C013"/>
    <x v="0"/>
    <s v="Noida"/>
    <x v="0"/>
    <s v="Enterprise"/>
    <x v="4"/>
    <x v="4"/>
    <x v="2"/>
    <s v="Dock"/>
    <n v="3"/>
    <n v="8900"/>
    <n v="0.1"/>
    <n v="26700"/>
    <n v="2670"/>
    <x v="169"/>
    <n v="19501.740000000002"/>
    <x v="220"/>
    <s v="Partner"/>
    <s v="Kavita"/>
    <s v="Bank Transfer"/>
    <s v="Completed"/>
  </r>
  <r>
    <s v="SO10162"/>
    <x v="193"/>
    <s v="C003"/>
    <x v="6"/>
    <s v="Bengaluru"/>
    <x v="1"/>
    <s v="Enterprise"/>
    <x v="7"/>
    <x v="7"/>
    <x v="1"/>
    <s v="Camera"/>
    <n v="3"/>
    <n v="16500"/>
    <n v="0.05"/>
    <n v="49500"/>
    <n v="2475"/>
    <x v="1"/>
    <n v="30775.78"/>
    <x v="1"/>
    <s v="Partner"/>
    <s v="Sanjay"/>
    <s v="Net Banking"/>
    <s v="Cancelled"/>
  </r>
  <r>
    <s v="SO10220"/>
    <x v="193"/>
    <s v="C018"/>
    <x v="14"/>
    <s v="Thiruvananthapuram"/>
    <x v="1"/>
    <s v="SMB"/>
    <x v="3"/>
    <x v="3"/>
    <x v="2"/>
    <s v="Headset"/>
    <n v="8"/>
    <n v="4200"/>
    <n v="0.15"/>
    <n v="33600"/>
    <n v="5040"/>
    <x v="170"/>
    <n v="19147.71"/>
    <x v="221"/>
    <s v="Retail"/>
    <s v="Kavita"/>
    <s v="Bank Transfer"/>
    <s v="Completed"/>
  </r>
  <r>
    <s v="SO10050"/>
    <x v="194"/>
    <s v="C007"/>
    <x v="7"/>
    <s v="Pune"/>
    <x v="3"/>
    <s v="Mid-Market"/>
    <x v="4"/>
    <x v="4"/>
    <x v="2"/>
    <s v="Dock"/>
    <n v="7"/>
    <n v="8900"/>
    <n v="0.2"/>
    <n v="62300"/>
    <n v="12460"/>
    <x v="99"/>
    <n v="37856.089999999997"/>
    <x v="222"/>
    <s v="Partner"/>
    <s v="Kavita"/>
    <s v="Bank Transfer"/>
    <s v="Completed"/>
  </r>
  <r>
    <s v="SO10041"/>
    <x v="195"/>
    <s v="C007"/>
    <x v="7"/>
    <s v="Pune"/>
    <x v="3"/>
    <s v="Mid-Market"/>
    <x v="8"/>
    <x v="8"/>
    <x v="2"/>
    <s v="Keyboard"/>
    <n v="2"/>
    <n v="3200"/>
    <n v="0.05"/>
    <n v="6400"/>
    <n v="320"/>
    <x v="171"/>
    <n v="4664.75"/>
    <x v="223"/>
    <s v="Partner"/>
    <s v="Sanjay"/>
    <s v="UPI"/>
    <s v="Completed"/>
  </r>
  <r>
    <s v="SO10193"/>
    <x v="195"/>
    <s v="C003"/>
    <x v="6"/>
    <s v="Bengaluru"/>
    <x v="1"/>
    <s v="Enterprise"/>
    <x v="3"/>
    <x v="3"/>
    <x v="2"/>
    <s v="Headset"/>
    <n v="6"/>
    <n v="4200"/>
    <n v="0.2"/>
    <n v="25200"/>
    <n v="5040"/>
    <x v="172"/>
    <n v="12007"/>
    <x v="224"/>
    <s v="Retail"/>
    <s v="Amit"/>
    <s v="UPI"/>
    <s v="Returned"/>
  </r>
  <r>
    <s v="SO10020"/>
    <x v="196"/>
    <s v="C010"/>
    <x v="2"/>
    <s v="Kochi"/>
    <x v="1"/>
    <s v="SMB"/>
    <x v="4"/>
    <x v="4"/>
    <x v="2"/>
    <s v="Dock"/>
    <n v="6"/>
    <n v="8900"/>
    <n v="0.1"/>
    <n v="53400"/>
    <n v="5340"/>
    <x v="173"/>
    <n v="38251.31"/>
    <x v="225"/>
    <s v="Online"/>
    <s v="Sneha"/>
    <s v="UPI"/>
    <s v="Completed"/>
  </r>
  <r>
    <s v="SO10120"/>
    <x v="197"/>
    <s v="C015"/>
    <x v="15"/>
    <s v="Gurugram"/>
    <x v="0"/>
    <s v="Mid-Market"/>
    <x v="3"/>
    <x v="3"/>
    <x v="2"/>
    <s v="Headset"/>
    <n v="5"/>
    <n v="4200"/>
    <n v="0.15"/>
    <n v="21000"/>
    <n v="3150"/>
    <x v="1"/>
    <n v="11985.31"/>
    <x v="1"/>
    <s v="Retail"/>
    <s v="Ravi"/>
    <s v="UPI"/>
    <s v="Cancelled"/>
  </r>
  <r>
    <s v="SO10249"/>
    <x v="197"/>
    <s v="C019"/>
    <x v="9"/>
    <s v="Indore"/>
    <x v="4"/>
    <s v="Mid-Market"/>
    <x v="7"/>
    <x v="7"/>
    <x v="1"/>
    <s v="Camera"/>
    <n v="6"/>
    <n v="16500"/>
    <n v="0"/>
    <n v="99000"/>
    <n v="0"/>
    <x v="30"/>
    <n v="64589.919999999998"/>
    <x v="226"/>
    <s v="Partner"/>
    <s v="Kavita"/>
    <s v="UPI"/>
    <s v="Completed"/>
  </r>
  <r>
    <s v="SO10221"/>
    <x v="198"/>
    <s v="C018"/>
    <x v="14"/>
    <s v="Thiruvananthapuram"/>
    <x v="1"/>
    <s v="SMB"/>
    <x v="3"/>
    <x v="3"/>
    <x v="2"/>
    <s v="Headset"/>
    <n v="5"/>
    <n v="4200"/>
    <n v="0.15"/>
    <n v="21000"/>
    <n v="3150"/>
    <x v="174"/>
    <n v="12427.23"/>
    <x v="227"/>
    <s v="Retail"/>
    <s v="Kavita"/>
    <s v="Bank Transfer"/>
    <s v="Completed"/>
  </r>
  <r>
    <s v="SO10203"/>
    <x v="199"/>
    <s v="C016"/>
    <x v="1"/>
    <s v="Coimbatore"/>
    <x v="1"/>
    <s v="SMB"/>
    <x v="8"/>
    <x v="8"/>
    <x v="2"/>
    <s v="Keyboard"/>
    <n v="7"/>
    <n v="3200"/>
    <n v="0.05"/>
    <n v="22400"/>
    <n v="1120"/>
    <x v="1"/>
    <n v="14658.74"/>
    <x v="1"/>
    <s v="Online"/>
    <s v="Sneha"/>
    <s v="Net Banking"/>
    <s v="Cancelled"/>
  </r>
  <r>
    <s v="SO10088"/>
    <x v="200"/>
    <s v="C014"/>
    <x v="17"/>
    <s v="Surat"/>
    <x v="3"/>
    <s v="SMB"/>
    <x v="9"/>
    <x v="9"/>
    <x v="0"/>
    <s v="Chair"/>
    <n v="8"/>
    <n v="12500"/>
    <n v="0.05"/>
    <n v="100000"/>
    <n v="5000"/>
    <x v="175"/>
    <n v="55844.19"/>
    <x v="228"/>
    <s v="Partner"/>
    <s v="Amit"/>
    <s v="Net Banking"/>
    <s v="Completed"/>
  </r>
  <r>
    <s v="SO10235"/>
    <x v="201"/>
    <s v="C017"/>
    <x v="13"/>
    <s v="Chandigarh"/>
    <x v="0"/>
    <s v="Enterprise"/>
    <x v="5"/>
    <x v="5"/>
    <x v="2"/>
    <s v="Mouse"/>
    <n v="2"/>
    <n v="1800"/>
    <n v="0.2"/>
    <n v="3600"/>
    <n v="720"/>
    <x v="176"/>
    <n v="2303.63"/>
    <x v="229"/>
    <s v="Retail"/>
    <s v="Kavita"/>
    <s v="UPI"/>
    <s v="Completed"/>
  </r>
  <r>
    <s v="SO10078"/>
    <x v="202"/>
    <s v="C008"/>
    <x v="10"/>
    <s v="Jaipur"/>
    <x v="0"/>
    <s v="SMB"/>
    <x v="4"/>
    <x v="4"/>
    <x v="2"/>
    <s v="Dock"/>
    <n v="4"/>
    <n v="8900"/>
    <n v="0.05"/>
    <n v="35600"/>
    <n v="1780"/>
    <x v="177"/>
    <n v="25004.83"/>
    <x v="230"/>
    <s v="Retail"/>
    <s v="Kavita"/>
    <s v="Bank Transfer"/>
    <s v="Completed"/>
  </r>
  <r>
    <s v="SO10234"/>
    <x v="202"/>
    <s v="C009"/>
    <x v="3"/>
    <s v="Chennai"/>
    <x v="1"/>
    <s v="Enterprise"/>
    <x v="3"/>
    <x v="3"/>
    <x v="2"/>
    <s v="Headset"/>
    <n v="4"/>
    <n v="4200"/>
    <n v="0"/>
    <n v="16800"/>
    <n v="0"/>
    <x v="114"/>
    <n v="12436.51"/>
    <x v="231"/>
    <s v="Retail"/>
    <s v="Sneha"/>
    <s v="Net Banking"/>
    <s v="Completed"/>
  </r>
  <r>
    <s v="SO10192"/>
    <x v="203"/>
    <s v="C020"/>
    <x v="8"/>
    <s v="Nagpur"/>
    <x v="4"/>
    <s v="SMB"/>
    <x v="5"/>
    <x v="5"/>
    <x v="2"/>
    <s v="Mouse"/>
    <n v="8"/>
    <n v="1800"/>
    <n v="0"/>
    <n v="14400"/>
    <n v="0"/>
    <x v="88"/>
    <n v="8775.83"/>
    <x v="232"/>
    <s v="Retail"/>
    <s v="Sneha"/>
    <s v="Net Banking"/>
    <s v="Completed"/>
  </r>
  <r>
    <s v="SO10055"/>
    <x v="204"/>
    <s v="C019"/>
    <x v="9"/>
    <s v="Indore"/>
    <x v="4"/>
    <s v="Mid-Market"/>
    <x v="8"/>
    <x v="8"/>
    <x v="2"/>
    <s v="Keyboard"/>
    <n v="7"/>
    <n v="3200"/>
    <n v="0.1"/>
    <n v="22400"/>
    <n v="2240"/>
    <x v="53"/>
    <n v="13626.48"/>
    <x v="233"/>
    <s v="Partner"/>
    <s v="Sanjay"/>
    <s v="Credit Card"/>
    <s v="Completed"/>
  </r>
  <r>
    <s v="SO10098"/>
    <x v="205"/>
    <s v="C010"/>
    <x v="2"/>
    <s v="Kochi"/>
    <x v="1"/>
    <s v="SMB"/>
    <x v="9"/>
    <x v="9"/>
    <x v="0"/>
    <s v="Chair"/>
    <n v="8"/>
    <n v="12500"/>
    <n v="0"/>
    <n v="100000"/>
    <n v="0"/>
    <x v="1"/>
    <n v="58692.87"/>
    <x v="1"/>
    <s v="Partner"/>
    <s v="Sneha"/>
    <s v="UPI"/>
    <s v="Cancelled"/>
  </r>
  <r>
    <s v="SO10266"/>
    <x v="205"/>
    <s v="C001"/>
    <x v="19"/>
    <s v="Delhi"/>
    <x v="0"/>
    <s v="Enterprise"/>
    <x v="0"/>
    <x v="0"/>
    <x v="0"/>
    <s v="Desk"/>
    <n v="7"/>
    <n v="22000"/>
    <n v="0"/>
    <n v="154000"/>
    <n v="0"/>
    <x v="3"/>
    <n v="93275.33"/>
    <x v="234"/>
    <s v="Partner"/>
    <s v="Sneha"/>
    <s v="UPI"/>
    <s v="Completed"/>
  </r>
  <r>
    <s v="SO10091"/>
    <x v="206"/>
    <s v="C015"/>
    <x v="15"/>
    <s v="Gurugram"/>
    <x v="0"/>
    <s v="Mid-Market"/>
    <x v="5"/>
    <x v="5"/>
    <x v="2"/>
    <s v="Mouse"/>
    <n v="7"/>
    <n v="1800"/>
    <n v="0.05"/>
    <n v="12600"/>
    <n v="630"/>
    <x v="146"/>
    <n v="8380.36"/>
    <x v="235"/>
    <s v="Retail"/>
    <s v="Ravi"/>
    <s v="Credit Card"/>
    <s v="Completed"/>
  </r>
  <r>
    <s v="SO10009"/>
    <x v="207"/>
    <s v="C007"/>
    <x v="7"/>
    <s v="Pune"/>
    <x v="3"/>
    <s v="Mid-Market"/>
    <x v="5"/>
    <x v="5"/>
    <x v="2"/>
    <s v="Mouse"/>
    <n v="2"/>
    <n v="1800"/>
    <n v="0.15"/>
    <n v="3600"/>
    <n v="540"/>
    <x v="178"/>
    <n v="2241.13"/>
    <x v="236"/>
    <s v="Partner"/>
    <s v="Sneha"/>
    <s v="UPI"/>
    <s v="Returned"/>
  </r>
  <r>
    <s v="SO10043"/>
    <x v="207"/>
    <s v="C009"/>
    <x v="3"/>
    <s v="Chennai"/>
    <x v="1"/>
    <s v="Enterprise"/>
    <x v="2"/>
    <x v="2"/>
    <x v="1"/>
    <s v="Monitor"/>
    <n v="2"/>
    <n v="14500"/>
    <n v="0.1"/>
    <n v="29000"/>
    <n v="2900"/>
    <x v="109"/>
    <n v="20601.25"/>
    <x v="237"/>
    <s v="Online"/>
    <s v="Sneha"/>
    <s v="Net Banking"/>
    <s v="Completed"/>
  </r>
  <r>
    <s v="SO10257"/>
    <x v="208"/>
    <s v="C008"/>
    <x v="10"/>
    <s v="Jaipur"/>
    <x v="0"/>
    <s v="SMB"/>
    <x v="7"/>
    <x v="7"/>
    <x v="1"/>
    <s v="Camera"/>
    <n v="4"/>
    <n v="16500"/>
    <n v="0.1"/>
    <n v="66000"/>
    <n v="6600"/>
    <x v="179"/>
    <n v="47498.04"/>
    <x v="238"/>
    <s v="Retail"/>
    <s v="Amit"/>
    <s v="Net Banking"/>
    <s v="Returned"/>
  </r>
  <r>
    <s v="SO10298"/>
    <x v="208"/>
    <s v="C013"/>
    <x v="0"/>
    <s v="Noida"/>
    <x v="0"/>
    <s v="Enterprise"/>
    <x v="1"/>
    <x v="1"/>
    <x v="1"/>
    <s v="Premium Laptop"/>
    <n v="4"/>
    <n v="78000"/>
    <n v="0"/>
    <n v="312000"/>
    <n v="0"/>
    <x v="1"/>
    <n v="201802.46"/>
    <x v="1"/>
    <s v="Online"/>
    <s v="Kavita"/>
    <s v="Credit Card"/>
    <s v="Cancelled"/>
  </r>
  <r>
    <s v="SO10159"/>
    <x v="209"/>
    <s v="C002"/>
    <x v="5"/>
    <s v="Mumbai"/>
    <x v="3"/>
    <s v="SMB"/>
    <x v="8"/>
    <x v="8"/>
    <x v="2"/>
    <s v="Keyboard"/>
    <n v="8"/>
    <n v="3200"/>
    <n v="0.1"/>
    <n v="25600"/>
    <n v="2560"/>
    <x v="180"/>
    <n v="16261.09"/>
    <x v="239"/>
    <s v="Online"/>
    <s v="Amit"/>
    <s v="Bank Transfer"/>
    <s v="Returned"/>
  </r>
  <r>
    <s v="SO10163"/>
    <x v="209"/>
    <s v="C005"/>
    <x v="11"/>
    <s v="Ahmedabad"/>
    <x v="3"/>
    <s v="Mid-Market"/>
    <x v="7"/>
    <x v="7"/>
    <x v="1"/>
    <s v="Camera"/>
    <n v="2"/>
    <n v="16500"/>
    <n v="0.05"/>
    <n v="33000"/>
    <n v="1650"/>
    <x v="1"/>
    <n v="22388.33"/>
    <x v="1"/>
    <s v="Retail"/>
    <s v="Sneha"/>
    <s v="Credit Card"/>
    <s v="Cancell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O10051"/>
    <x v="0"/>
    <s v="C013"/>
    <s v="Aditya Jain"/>
    <s v="Noida"/>
    <x v="0"/>
    <s v="Enterprise"/>
    <s v="P009"/>
    <s v="Standing Desk"/>
    <x v="0"/>
    <s v="Desk"/>
    <n v="5"/>
    <n v="22000"/>
    <n v="0.05"/>
    <n v="110000"/>
    <n v="5500"/>
    <n v="-104500"/>
    <n v="65881.38"/>
    <n v="-38618.620000000003"/>
    <n v="0.36955617224880383"/>
    <x v="0"/>
    <s v="Sanjay"/>
    <s v="Bank Transfer"/>
    <s v="Returned"/>
  </r>
  <r>
    <s v="SO10265"/>
    <x v="1"/>
    <s v="C016"/>
    <s v="Divya Iyer"/>
    <s v="Coimbatore"/>
    <x v="1"/>
    <s v="SMB"/>
    <s v="P001"/>
    <s v="Laptop Pro 14"/>
    <x v="1"/>
    <s v="Premium Laptop"/>
    <n v="7"/>
    <n v="78000"/>
    <n v="0"/>
    <n v="546000"/>
    <n v="0"/>
    <n v="0"/>
    <n v="318871.78999999998"/>
    <n v="0"/>
    <n v="0"/>
    <x v="1"/>
    <s v="Kavita"/>
    <s v="Bank Transfer"/>
    <s v="Cancelled"/>
  </r>
  <r>
    <s v="SO10229"/>
    <x v="2"/>
    <s v="C010"/>
    <s v="Meera Nair"/>
    <s v="Kochi"/>
    <x v="1"/>
    <s v="SMB"/>
    <s v="P001"/>
    <s v="Laptop Pro 14"/>
    <x v="1"/>
    <s v="Premium Laptop"/>
    <n v="5"/>
    <n v="78000"/>
    <n v="0.15"/>
    <n v="390000"/>
    <n v="58500"/>
    <n v="331500"/>
    <n v="240227.41"/>
    <n v="91272.59"/>
    <n v="0.27533209653092006"/>
    <x v="1"/>
    <s v="Neeraj"/>
    <s v="Net Banking"/>
    <s v="Completed"/>
  </r>
  <r>
    <s v="SO10099"/>
    <x v="3"/>
    <s v="C010"/>
    <s v="Meera Nair"/>
    <s v="Kochi"/>
    <x v="1"/>
    <s v="SMB"/>
    <s v="P009"/>
    <s v="Standing Desk"/>
    <x v="0"/>
    <s v="Desk"/>
    <n v="7"/>
    <n v="22000"/>
    <n v="0"/>
    <n v="154000"/>
    <n v="0"/>
    <n v="154000"/>
    <n v="97624.94"/>
    <n v="56375.06"/>
    <n v="0.36607181818181816"/>
    <x v="1"/>
    <s v="Ravi"/>
    <s v="UPI"/>
    <s v="Completed"/>
  </r>
  <r>
    <s v="SO10231"/>
    <x v="3"/>
    <s v="C009"/>
    <s v="Arjun Rao"/>
    <s v="Chennai"/>
    <x v="1"/>
    <s v="Enterprise"/>
    <s v="P003"/>
    <s v="Business Monitor 24"/>
    <x v="1"/>
    <s v="Monitor"/>
    <n v="6"/>
    <n v="14500"/>
    <n v="0.05"/>
    <n v="87000"/>
    <n v="4350"/>
    <n v="82650"/>
    <n v="59199.51"/>
    <n v="23450.49"/>
    <n v="0.28373248638838477"/>
    <x v="2"/>
    <s v="Kavita"/>
    <s v="Net Banking"/>
    <s v="Completed"/>
  </r>
  <r>
    <s v="SO10272"/>
    <x v="4"/>
    <s v="C006"/>
    <s v="Ananya Das"/>
    <s v="Kolkata"/>
    <x v="2"/>
    <s v="SMB"/>
    <s v="P006"/>
    <s v="Office Headset"/>
    <x v="2"/>
    <s v="Headset"/>
    <n v="4"/>
    <n v="4200"/>
    <n v="0.15"/>
    <n v="16800"/>
    <n v="2520"/>
    <n v="0"/>
    <n v="8776.57"/>
    <n v="0"/>
    <n v="0"/>
    <x v="1"/>
    <s v="Ravi"/>
    <s v="Bank Transfer"/>
    <s v="Cancelled"/>
  </r>
  <r>
    <s v="SO10149"/>
    <x v="5"/>
    <s v="C002"/>
    <s v="Priya Singh"/>
    <s v="Mumbai"/>
    <x v="3"/>
    <s v="SMB"/>
    <s v="P007"/>
    <s v="Docking Station"/>
    <x v="2"/>
    <s v="Dock"/>
    <n v="8"/>
    <n v="8900"/>
    <n v="0"/>
    <n v="71200"/>
    <n v="0"/>
    <n v="-71200"/>
    <n v="56027.74"/>
    <n v="-15172.26"/>
    <n v="0.21309353932584271"/>
    <x v="1"/>
    <s v="Kavita"/>
    <s v="Net Banking"/>
    <s v="Returned"/>
  </r>
  <r>
    <s v="SO10021"/>
    <x v="6"/>
    <s v="C003"/>
    <s v="Rahul Kumar"/>
    <s v="Bengaluru"/>
    <x v="1"/>
    <s v="Enterprise"/>
    <s v="P006"/>
    <s v="Office Headset"/>
    <x v="2"/>
    <s v="Headset"/>
    <n v="4"/>
    <n v="4200"/>
    <n v="0.15"/>
    <n v="16800"/>
    <n v="2520"/>
    <n v="14280"/>
    <n v="9037.1299999999992"/>
    <n v="5242.87"/>
    <n v="0.36714775910364145"/>
    <x v="0"/>
    <s v="Sanjay"/>
    <s v="Credit Card"/>
    <s v="Completed"/>
  </r>
  <r>
    <s v="SO10054"/>
    <x v="7"/>
    <s v="C007"/>
    <s v="Karan Mehta"/>
    <s v="Pune"/>
    <x v="3"/>
    <s v="Mid-Market"/>
    <s v="P003"/>
    <s v="Business Monitor 24"/>
    <x v="1"/>
    <s v="Monitor"/>
    <n v="1"/>
    <n v="14500"/>
    <n v="0"/>
    <n v="14500"/>
    <n v="0"/>
    <n v="-14500"/>
    <n v="11834.1"/>
    <n v="-2665.9"/>
    <n v="0.18385517241379312"/>
    <x v="2"/>
    <s v="Neeraj"/>
    <s v="Net Banking"/>
    <s v="Returned"/>
  </r>
  <r>
    <s v="SO10141"/>
    <x v="8"/>
    <s v="C020"/>
    <s v="Tanya Kapoor"/>
    <s v="Nagpur"/>
    <x v="4"/>
    <s v="SMB"/>
    <s v="P005"/>
    <s v="Wireless Mouse"/>
    <x v="2"/>
    <s v="Mouse"/>
    <n v="3"/>
    <n v="1800"/>
    <n v="0.05"/>
    <n v="5400"/>
    <n v="270"/>
    <n v="5130"/>
    <n v="3840.56"/>
    <n v="1289.44"/>
    <n v="0.25135282651072127"/>
    <x v="1"/>
    <s v="Amit"/>
    <s v="Credit Card"/>
    <s v="Completed"/>
  </r>
  <r>
    <s v="SO10003"/>
    <x v="9"/>
    <s v="C019"/>
    <s v="Sahil Khan"/>
    <s v="Indore"/>
    <x v="4"/>
    <s v="Mid-Market"/>
    <s v="P007"/>
    <s v="Docking Station"/>
    <x v="2"/>
    <s v="Dock"/>
    <n v="1"/>
    <n v="8900"/>
    <n v="0"/>
    <n v="8900"/>
    <n v="0"/>
    <n v="-8900"/>
    <n v="5629.01"/>
    <n v="-3270.99"/>
    <n v="0.36752696629213483"/>
    <x v="0"/>
    <s v="Ravi"/>
    <s v="UPI"/>
    <s v="Returned"/>
  </r>
  <r>
    <s v="SO10022"/>
    <x v="9"/>
    <s v="C008"/>
    <s v="Neha Verma"/>
    <s v="Jaipur"/>
    <x v="0"/>
    <s v="SMB"/>
    <s v="P002"/>
    <s v="Laptop Air 13"/>
    <x v="1"/>
    <s v="Standard Laptop"/>
    <n v="6"/>
    <n v="62000"/>
    <n v="0"/>
    <n v="372000"/>
    <n v="0"/>
    <n v="372000"/>
    <n v="261663.86"/>
    <n v="110336.14"/>
    <n v="0.29660252688172045"/>
    <x v="0"/>
    <s v="Neeraj"/>
    <s v="UPI"/>
    <s v="Completed"/>
  </r>
  <r>
    <s v="SO10189"/>
    <x v="9"/>
    <s v="C013"/>
    <s v="Aditya Jain"/>
    <s v="Noida"/>
    <x v="0"/>
    <s v="Enterprise"/>
    <s v="P010"/>
    <s v="Conference Camera"/>
    <x v="1"/>
    <s v="Camera"/>
    <n v="3"/>
    <n v="16500"/>
    <n v="0.2"/>
    <n v="49500"/>
    <n v="9900"/>
    <n v="39600"/>
    <n v="27244.06"/>
    <n v="12355.94"/>
    <n v="0.31201868686868689"/>
    <x v="1"/>
    <s v="Neeraj"/>
    <s v="Credit Card"/>
    <s v="Completed"/>
  </r>
  <r>
    <s v="SO10218"/>
    <x v="9"/>
    <s v="C005"/>
    <s v="Vikram Patel"/>
    <s v="Ahmedabad"/>
    <x v="3"/>
    <s v="Mid-Market"/>
    <s v="P004"/>
    <s v="Wireless Keyboard"/>
    <x v="2"/>
    <s v="Keyboard"/>
    <n v="2"/>
    <n v="3200"/>
    <n v="0"/>
    <n v="6400"/>
    <n v="0"/>
    <n v="6400"/>
    <n v="3741.09"/>
    <n v="2658.91"/>
    <n v="0.41545468749999998"/>
    <x v="1"/>
    <s v="Sneha"/>
    <s v="Net Banking"/>
    <s v="Completed"/>
  </r>
  <r>
    <s v="SO10242"/>
    <x v="9"/>
    <s v="C003"/>
    <s v="Rahul Kumar"/>
    <s v="Bengaluru"/>
    <x v="1"/>
    <s v="Enterprise"/>
    <s v="P008"/>
    <s v="Office Chair"/>
    <x v="0"/>
    <s v="Chair"/>
    <n v="5"/>
    <n v="12500"/>
    <n v="0.1"/>
    <n v="62500"/>
    <n v="6250"/>
    <n v="56250"/>
    <n v="35054.75"/>
    <n v="21195.25"/>
    <n v="0.37680444444444444"/>
    <x v="0"/>
    <s v="Sanjay"/>
    <s v="Net Banking"/>
    <s v="Completed"/>
  </r>
  <r>
    <s v="SO10247"/>
    <x v="10"/>
    <s v="C004"/>
    <s v="Sneha Reddy"/>
    <s v="Hyderabad"/>
    <x v="1"/>
    <s v="SMB"/>
    <s v="P010"/>
    <s v="Conference Camera"/>
    <x v="1"/>
    <s v="Camera"/>
    <n v="8"/>
    <n v="16500"/>
    <n v="0.15"/>
    <n v="132000"/>
    <n v="19800"/>
    <n v="112200"/>
    <n v="83172.25"/>
    <n v="29027.75"/>
    <n v="0.25871434937611409"/>
    <x v="2"/>
    <s v="Sanjay"/>
    <s v="Credit Card"/>
    <s v="Completed"/>
  </r>
  <r>
    <s v="SO10173"/>
    <x v="11"/>
    <s v="C005"/>
    <s v="Vikram Patel"/>
    <s v="Ahmedabad"/>
    <x v="3"/>
    <s v="Mid-Market"/>
    <s v="P003"/>
    <s v="Business Monitor 24"/>
    <x v="1"/>
    <s v="Monitor"/>
    <n v="5"/>
    <n v="14500"/>
    <n v="0.1"/>
    <n v="72500"/>
    <n v="7250"/>
    <n v="65250"/>
    <n v="48745.49"/>
    <n v="16504.509999999998"/>
    <n v="0.25294268199233716"/>
    <x v="0"/>
    <s v="Neeraj"/>
    <s v="Net Banking"/>
    <s v="Completed"/>
  </r>
  <r>
    <s v="SO10032"/>
    <x v="12"/>
    <s v="C019"/>
    <s v="Sahil Khan"/>
    <s v="Indore"/>
    <x v="4"/>
    <s v="Mid-Market"/>
    <s v="P010"/>
    <s v="Conference Camera"/>
    <x v="1"/>
    <s v="Camera"/>
    <n v="2"/>
    <n v="16500"/>
    <n v="0.1"/>
    <n v="33000"/>
    <n v="3300"/>
    <n v="-29700"/>
    <n v="21911.759999999998"/>
    <n v="-7788.24"/>
    <n v="0.26223030303030304"/>
    <x v="0"/>
    <s v="Amit"/>
    <s v="Bank Transfer"/>
    <s v="Returned"/>
  </r>
  <r>
    <s v="SO10093"/>
    <x v="12"/>
    <s v="C009"/>
    <s v="Arjun Rao"/>
    <s v="Chennai"/>
    <x v="1"/>
    <s v="Enterprise"/>
    <s v="P010"/>
    <s v="Conference Camera"/>
    <x v="1"/>
    <s v="Camera"/>
    <n v="3"/>
    <n v="16500"/>
    <n v="0.1"/>
    <n v="49500"/>
    <n v="4950"/>
    <n v="44550"/>
    <n v="31387.759999999998"/>
    <n v="13162.24"/>
    <n v="0.29544870931537598"/>
    <x v="1"/>
    <s v="Sneha"/>
    <s v="Net Banking"/>
    <s v="Completed"/>
  </r>
  <r>
    <s v="SO10006"/>
    <x v="13"/>
    <s v="C020"/>
    <s v="Tanya Kapoor"/>
    <s v="Nagpur"/>
    <x v="4"/>
    <s v="SMB"/>
    <s v="P005"/>
    <s v="Wireless Mouse"/>
    <x v="2"/>
    <s v="Mouse"/>
    <n v="8"/>
    <n v="1800"/>
    <n v="0.15"/>
    <n v="14400"/>
    <n v="2160"/>
    <n v="12240"/>
    <n v="7465.89"/>
    <n v="4774.1099999999997"/>
    <n v="0.39004166666666662"/>
    <x v="2"/>
    <s v="Kavita"/>
    <s v="Bank Transfer"/>
    <s v="Completed"/>
  </r>
  <r>
    <s v="SO10213"/>
    <x v="14"/>
    <s v="C017"/>
    <s v="Nikhil Bansal"/>
    <s v="Chandigarh"/>
    <x v="0"/>
    <s v="Enterprise"/>
    <s v="P001"/>
    <s v="Laptop Pro 14"/>
    <x v="1"/>
    <s v="Premium Laptop"/>
    <n v="1"/>
    <n v="78000"/>
    <n v="0"/>
    <n v="78000"/>
    <n v="0"/>
    <n v="78000"/>
    <n v="58598.44"/>
    <n v="19401.560000000001"/>
    <n v="0.24873794871794874"/>
    <x v="0"/>
    <s v="Neeraj"/>
    <s v="UPI"/>
    <s v="Completed"/>
  </r>
  <r>
    <s v="SO10251"/>
    <x v="15"/>
    <s v="C018"/>
    <s v="Kavya Menon"/>
    <s v="Thiruvananthapuram"/>
    <x v="1"/>
    <s v="SMB"/>
    <s v="P008"/>
    <s v="Office Chair"/>
    <x v="0"/>
    <s v="Chair"/>
    <n v="6"/>
    <n v="12500"/>
    <n v="0.2"/>
    <n v="75000"/>
    <n v="15000"/>
    <n v="-60000"/>
    <n v="44467.33"/>
    <n v="-15532.67"/>
    <n v="0.25887783333333331"/>
    <x v="1"/>
    <s v="Sanjay"/>
    <s v="Net Banking"/>
    <s v="Returned"/>
  </r>
  <r>
    <s v="SO10127"/>
    <x v="16"/>
    <s v="C020"/>
    <s v="Tanya Kapoor"/>
    <s v="Nagpur"/>
    <x v="4"/>
    <s v="SMB"/>
    <s v="P001"/>
    <s v="Laptop Pro 14"/>
    <x v="1"/>
    <s v="Premium Laptop"/>
    <n v="6"/>
    <n v="78000"/>
    <n v="0"/>
    <n v="468000"/>
    <n v="0"/>
    <n v="-468000"/>
    <n v="382504.36"/>
    <n v="-85495.64"/>
    <n v="0.18268299145299144"/>
    <x v="2"/>
    <s v="Ravi"/>
    <s v="UPI"/>
    <s v="Returned"/>
  </r>
  <r>
    <s v="SO10206"/>
    <x v="16"/>
    <s v="C005"/>
    <s v="Vikram Patel"/>
    <s v="Ahmedabad"/>
    <x v="3"/>
    <s v="Mid-Market"/>
    <s v="P002"/>
    <s v="Laptop Air 13"/>
    <x v="1"/>
    <s v="Standard Laptop"/>
    <n v="5"/>
    <n v="62000"/>
    <n v="0.1"/>
    <n v="310000"/>
    <n v="31000"/>
    <n v="279000"/>
    <n v="219684.41"/>
    <n v="59315.59"/>
    <n v="0.21260068100358423"/>
    <x v="2"/>
    <s v="Sneha"/>
    <s v="Bank Transfer"/>
    <s v="Completed"/>
  </r>
  <r>
    <s v="SO10082"/>
    <x v="17"/>
    <s v="C009"/>
    <s v="Arjun Rao"/>
    <s v="Chennai"/>
    <x v="1"/>
    <s v="Enterprise"/>
    <s v="P001"/>
    <s v="Laptop Pro 14"/>
    <x v="1"/>
    <s v="Premium Laptop"/>
    <n v="5"/>
    <n v="78000"/>
    <n v="0.2"/>
    <n v="390000"/>
    <n v="78000"/>
    <n v="0"/>
    <n v="251653.43"/>
    <n v="0"/>
    <n v="0"/>
    <x v="1"/>
    <s v="Ravi"/>
    <s v="Credit Card"/>
    <s v="Cancelled"/>
  </r>
  <r>
    <s v="SO10253"/>
    <x v="18"/>
    <s v="C005"/>
    <s v="Vikram Patel"/>
    <s v="Ahmedabad"/>
    <x v="3"/>
    <s v="Mid-Market"/>
    <s v="P008"/>
    <s v="Office Chair"/>
    <x v="0"/>
    <s v="Chair"/>
    <n v="7"/>
    <n v="12500"/>
    <n v="0.1"/>
    <n v="87500"/>
    <n v="8750"/>
    <n v="78750"/>
    <n v="56207.72"/>
    <n v="22542.28"/>
    <n v="0.28625117460317456"/>
    <x v="1"/>
    <s v="Sneha"/>
    <s v="Bank Transfer"/>
    <s v="Completed"/>
  </r>
  <r>
    <s v="SO10090"/>
    <x v="19"/>
    <s v="C005"/>
    <s v="Vikram Patel"/>
    <s v="Ahmedabad"/>
    <x v="3"/>
    <s v="Mid-Market"/>
    <s v="P002"/>
    <s v="Laptop Air 13"/>
    <x v="1"/>
    <s v="Standard Laptop"/>
    <n v="3"/>
    <n v="62000"/>
    <n v="0.05"/>
    <n v="186000"/>
    <n v="9300"/>
    <n v="-176700"/>
    <n v="127720.63"/>
    <n v="-48979.37"/>
    <n v="0.27718941709111489"/>
    <x v="1"/>
    <s v="Neeraj"/>
    <s v="Credit Card"/>
    <s v="Returned"/>
  </r>
  <r>
    <s v="SO10181"/>
    <x v="20"/>
    <s v="C006"/>
    <s v="Ananya Das"/>
    <s v="Kolkata"/>
    <x v="2"/>
    <s v="SMB"/>
    <s v="P003"/>
    <s v="Business Monitor 24"/>
    <x v="1"/>
    <s v="Monitor"/>
    <n v="8"/>
    <n v="14500"/>
    <n v="0"/>
    <n v="116000"/>
    <n v="0"/>
    <n v="116000"/>
    <n v="75449.440000000002"/>
    <n v="40550.559999999998"/>
    <n v="0.34957379310344827"/>
    <x v="2"/>
    <s v="Ravi"/>
    <s v="Bank Transfer"/>
    <s v="Completed"/>
  </r>
  <r>
    <s v="SO10011"/>
    <x v="21"/>
    <s v="C013"/>
    <s v="Aditya Jain"/>
    <s v="Noida"/>
    <x v="0"/>
    <s v="Enterprise"/>
    <s v="P005"/>
    <s v="Wireless Mouse"/>
    <x v="2"/>
    <s v="Mouse"/>
    <n v="4"/>
    <n v="1800"/>
    <n v="0.15"/>
    <n v="7200"/>
    <n v="1080"/>
    <n v="6120"/>
    <n v="4836.8100000000004"/>
    <n v="1283.19"/>
    <n v="0.20967156862745098"/>
    <x v="2"/>
    <s v="Sanjay"/>
    <s v="Net Banking"/>
    <s v="Completed"/>
  </r>
  <r>
    <s v="SO10178"/>
    <x v="22"/>
    <s v="C017"/>
    <s v="Nikhil Bansal"/>
    <s v="Chandigarh"/>
    <x v="0"/>
    <s v="Enterprise"/>
    <s v="P006"/>
    <s v="Office Headset"/>
    <x v="2"/>
    <s v="Headset"/>
    <n v="1"/>
    <n v="4200"/>
    <n v="0.1"/>
    <n v="4200"/>
    <n v="420"/>
    <n v="3780"/>
    <n v="2984.69"/>
    <n v="795.31"/>
    <n v="0.21039947089947089"/>
    <x v="0"/>
    <s v="Neeraj"/>
    <s v="Bank Transfer"/>
    <s v="Completed"/>
  </r>
  <r>
    <s v="SO10295"/>
    <x v="22"/>
    <s v="C015"/>
    <s v="Manish Yadav"/>
    <s v="Gurugram"/>
    <x v="0"/>
    <s v="Mid-Market"/>
    <s v="P006"/>
    <s v="Office Headset"/>
    <x v="2"/>
    <s v="Headset"/>
    <n v="5"/>
    <n v="4200"/>
    <n v="0"/>
    <n v="21000"/>
    <n v="0"/>
    <n v="21000"/>
    <n v="16263.34"/>
    <n v="4736.66"/>
    <n v="0.22555523809523809"/>
    <x v="2"/>
    <s v="Amit"/>
    <s v="Credit Card"/>
    <s v="Completed"/>
  </r>
  <r>
    <s v="SO10133"/>
    <x v="23"/>
    <s v="C016"/>
    <s v="Divya Iyer"/>
    <s v="Coimbatore"/>
    <x v="1"/>
    <s v="SMB"/>
    <s v="P008"/>
    <s v="Office Chair"/>
    <x v="0"/>
    <s v="Chair"/>
    <n v="2"/>
    <n v="12500"/>
    <n v="0.05"/>
    <n v="25000"/>
    <n v="1250"/>
    <n v="23750"/>
    <n v="17242.3"/>
    <n v="6507.7"/>
    <n v="0.27400842105263157"/>
    <x v="2"/>
    <s v="Amit"/>
    <s v="Bank Transfer"/>
    <s v="Completed"/>
  </r>
  <r>
    <s v="SO10156"/>
    <x v="23"/>
    <s v="C012"/>
    <s v="Ishita Roy"/>
    <s v="Bhubaneswar"/>
    <x v="2"/>
    <s v="SMB"/>
    <s v="P009"/>
    <s v="Standing Desk"/>
    <x v="0"/>
    <s v="Desk"/>
    <n v="5"/>
    <n v="22000"/>
    <n v="0.1"/>
    <n v="110000"/>
    <n v="11000"/>
    <n v="99000"/>
    <n v="68157.47"/>
    <n v="30842.53"/>
    <n v="0.31154070707070708"/>
    <x v="1"/>
    <s v="Amit"/>
    <s v="Credit Card"/>
    <s v="Completed"/>
  </r>
  <r>
    <s v="SO10263"/>
    <x v="24"/>
    <s v="C017"/>
    <s v="Nikhil Bansal"/>
    <s v="Chandigarh"/>
    <x v="0"/>
    <s v="Enterprise"/>
    <s v="P001"/>
    <s v="Laptop Pro 14"/>
    <x v="1"/>
    <s v="Premium Laptop"/>
    <n v="1"/>
    <n v="78000"/>
    <n v="0"/>
    <n v="78000"/>
    <n v="0"/>
    <n v="0"/>
    <n v="52959.98"/>
    <n v="0"/>
    <n v="0"/>
    <x v="2"/>
    <s v="Ravi"/>
    <s v="UPI"/>
    <s v="Cancelled"/>
  </r>
  <r>
    <s v="SO10059"/>
    <x v="25"/>
    <s v="C009"/>
    <s v="Arjun Rao"/>
    <s v="Chennai"/>
    <x v="1"/>
    <s v="Enterprise"/>
    <s v="P008"/>
    <s v="Office Chair"/>
    <x v="0"/>
    <s v="Chair"/>
    <n v="5"/>
    <n v="12500"/>
    <n v="0"/>
    <n v="62500"/>
    <n v="0"/>
    <n v="62500"/>
    <n v="40325.730000000003"/>
    <n v="22174.27"/>
    <n v="0.35478831999999999"/>
    <x v="0"/>
    <s v="Ravi"/>
    <s v="UPI"/>
    <s v="Completed"/>
  </r>
  <r>
    <s v="SO10110"/>
    <x v="26"/>
    <s v="C006"/>
    <s v="Ananya Das"/>
    <s v="Kolkata"/>
    <x v="2"/>
    <s v="SMB"/>
    <s v="P003"/>
    <s v="Business Monitor 24"/>
    <x v="1"/>
    <s v="Monitor"/>
    <n v="7"/>
    <n v="14500"/>
    <n v="0.15"/>
    <n v="101500"/>
    <n v="15225"/>
    <n v="86275"/>
    <n v="64184.480000000003"/>
    <n v="22090.52"/>
    <n v="0.25604775427412346"/>
    <x v="0"/>
    <s v="Sneha"/>
    <s v="UPI"/>
    <s v="Completed"/>
  </r>
  <r>
    <s v="SO10174"/>
    <x v="26"/>
    <s v="C020"/>
    <s v="Tanya Kapoor"/>
    <s v="Nagpur"/>
    <x v="4"/>
    <s v="SMB"/>
    <s v="P001"/>
    <s v="Laptop Pro 14"/>
    <x v="1"/>
    <s v="Premium Laptop"/>
    <n v="1"/>
    <n v="78000"/>
    <n v="0.05"/>
    <n v="78000"/>
    <n v="3900"/>
    <n v="74100"/>
    <n v="46813.2"/>
    <n v="27286.799999999999"/>
    <n v="0.36824291497975709"/>
    <x v="0"/>
    <s v="Sanjay"/>
    <s v="Net Banking"/>
    <s v="Completed"/>
  </r>
  <r>
    <s v="SO10172"/>
    <x v="27"/>
    <s v="C008"/>
    <s v="Neha Verma"/>
    <s v="Jaipur"/>
    <x v="0"/>
    <s v="SMB"/>
    <s v="P007"/>
    <s v="Docking Station"/>
    <x v="2"/>
    <s v="Dock"/>
    <n v="6"/>
    <n v="8900"/>
    <n v="0"/>
    <n v="53400"/>
    <n v="0"/>
    <n v="53400"/>
    <n v="31333.25"/>
    <n v="22066.75"/>
    <n v="0.41323501872659174"/>
    <x v="0"/>
    <s v="Sanjay"/>
    <s v="Bank Transfer"/>
    <s v="Completed"/>
  </r>
  <r>
    <s v="SO10278"/>
    <x v="28"/>
    <s v="C012"/>
    <s v="Ishita Roy"/>
    <s v="Bhubaneswar"/>
    <x v="2"/>
    <s v="SMB"/>
    <s v="P002"/>
    <s v="Laptop Air 13"/>
    <x v="1"/>
    <s v="Standard Laptop"/>
    <n v="1"/>
    <n v="62000"/>
    <n v="0.05"/>
    <n v="62000"/>
    <n v="3100"/>
    <n v="58900"/>
    <n v="40448.79"/>
    <n v="18451.21"/>
    <n v="0.31326332767402376"/>
    <x v="2"/>
    <s v="Sneha"/>
    <s v="Credit Card"/>
    <s v="Completed"/>
  </r>
  <r>
    <s v="SO10038"/>
    <x v="29"/>
    <s v="C009"/>
    <s v="Arjun Rao"/>
    <s v="Chennai"/>
    <x v="1"/>
    <s v="Enterprise"/>
    <s v="P001"/>
    <s v="Laptop Pro 14"/>
    <x v="1"/>
    <s v="Premium Laptop"/>
    <n v="7"/>
    <n v="78000"/>
    <n v="0.05"/>
    <n v="546000"/>
    <n v="27300"/>
    <n v="518700"/>
    <n v="306334.27"/>
    <n v="212365.73"/>
    <n v="0.40941918257181414"/>
    <x v="2"/>
    <s v="Sanjay"/>
    <s v="Bank Transfer"/>
    <s v="Completed"/>
  </r>
  <r>
    <s v="SO10108"/>
    <x v="30"/>
    <s v="C003"/>
    <s v="Rahul Kumar"/>
    <s v="Bengaluru"/>
    <x v="1"/>
    <s v="Enterprise"/>
    <s v="P007"/>
    <s v="Docking Station"/>
    <x v="2"/>
    <s v="Dock"/>
    <n v="2"/>
    <n v="8900"/>
    <n v="0.1"/>
    <n v="17800"/>
    <n v="1780"/>
    <n v="16020"/>
    <n v="9931.24"/>
    <n v="6088.76"/>
    <n v="0.38007240948813986"/>
    <x v="2"/>
    <s v="Ravi"/>
    <s v="Bank Transfer"/>
    <s v="Completed"/>
  </r>
  <r>
    <s v="SO10105"/>
    <x v="31"/>
    <s v="C004"/>
    <s v="Sneha Reddy"/>
    <s v="Hyderabad"/>
    <x v="1"/>
    <s v="SMB"/>
    <s v="P008"/>
    <s v="Office Chair"/>
    <x v="0"/>
    <s v="Chair"/>
    <n v="8"/>
    <n v="12500"/>
    <n v="0"/>
    <n v="100000"/>
    <n v="0"/>
    <n v="100000"/>
    <n v="75338.649999999994"/>
    <n v="24661.35"/>
    <n v="0.24661349999999999"/>
    <x v="0"/>
    <s v="Sneha"/>
    <s v="Credit Card"/>
    <s v="Completed"/>
  </r>
  <r>
    <s v="SO10170"/>
    <x v="32"/>
    <s v="C012"/>
    <s v="Ishita Roy"/>
    <s v="Bhubaneswar"/>
    <x v="2"/>
    <s v="SMB"/>
    <s v="P009"/>
    <s v="Standing Desk"/>
    <x v="0"/>
    <s v="Desk"/>
    <n v="2"/>
    <n v="22000"/>
    <n v="0.05"/>
    <n v="44000"/>
    <n v="2200"/>
    <n v="41800"/>
    <n v="25085.439999999999"/>
    <n v="16714.560000000001"/>
    <n v="0.39986985645933015"/>
    <x v="1"/>
    <s v="Neeraj"/>
    <s v="UPI"/>
    <s v="Completed"/>
  </r>
  <r>
    <s v="SO10151"/>
    <x v="33"/>
    <s v="C003"/>
    <s v="Rahul Kumar"/>
    <s v="Bengaluru"/>
    <x v="1"/>
    <s v="Enterprise"/>
    <s v="P007"/>
    <s v="Docking Station"/>
    <x v="2"/>
    <s v="Dock"/>
    <n v="4"/>
    <n v="8900"/>
    <n v="0.1"/>
    <n v="35600"/>
    <n v="3560"/>
    <n v="-32040"/>
    <n v="23111.38"/>
    <n v="-8928.6200000000008"/>
    <n v="0.27867103620474409"/>
    <x v="2"/>
    <s v="Neeraj"/>
    <s v="Bank Transfer"/>
    <s v="Returned"/>
  </r>
  <r>
    <s v="SO10150"/>
    <x v="34"/>
    <s v="C014"/>
    <s v="Pooja Shah"/>
    <s v="Surat"/>
    <x v="3"/>
    <s v="SMB"/>
    <s v="P005"/>
    <s v="Wireless Mouse"/>
    <x v="2"/>
    <s v="Mouse"/>
    <n v="7"/>
    <n v="1800"/>
    <n v="0"/>
    <n v="12600"/>
    <n v="0"/>
    <n v="12600"/>
    <n v="10229.790000000001"/>
    <n v="2370.21"/>
    <n v="0.18811190476190476"/>
    <x v="0"/>
    <s v="Neeraj"/>
    <s v="Bank Transfer"/>
    <s v="Completed"/>
  </r>
  <r>
    <s v="SO10085"/>
    <x v="35"/>
    <s v="C003"/>
    <s v="Rahul Kumar"/>
    <s v="Bengaluru"/>
    <x v="1"/>
    <s v="Enterprise"/>
    <s v="P004"/>
    <s v="Wireless Keyboard"/>
    <x v="2"/>
    <s v="Keyboard"/>
    <n v="7"/>
    <n v="3200"/>
    <n v="0.15"/>
    <n v="22400"/>
    <n v="3360"/>
    <n v="-19040"/>
    <n v="13767.26"/>
    <n v="-5272.74"/>
    <n v="0.27692962184873948"/>
    <x v="2"/>
    <s v="Kavita"/>
    <s v="Net Banking"/>
    <s v="Returned"/>
  </r>
  <r>
    <s v="SO10080"/>
    <x v="36"/>
    <s v="C007"/>
    <s v="Karan Mehta"/>
    <s v="Pune"/>
    <x v="3"/>
    <s v="Mid-Market"/>
    <s v="P006"/>
    <s v="Office Headset"/>
    <x v="2"/>
    <s v="Headset"/>
    <n v="3"/>
    <n v="4200"/>
    <n v="0"/>
    <n v="12600"/>
    <n v="0"/>
    <n v="12600"/>
    <n v="7962.35"/>
    <n v="4637.6499999999996"/>
    <n v="0.36806746031746029"/>
    <x v="1"/>
    <s v="Sanjay"/>
    <s v="Bank Transfer"/>
    <s v="Completed"/>
  </r>
  <r>
    <s v="SO10064"/>
    <x v="37"/>
    <s v="C006"/>
    <s v="Ananya Das"/>
    <s v="Kolkata"/>
    <x v="2"/>
    <s v="SMB"/>
    <s v="P008"/>
    <s v="Office Chair"/>
    <x v="0"/>
    <s v="Chair"/>
    <n v="1"/>
    <n v="12500"/>
    <n v="0.1"/>
    <n v="12500"/>
    <n v="1250"/>
    <n v="0"/>
    <n v="8123.11"/>
    <n v="0"/>
    <n v="0"/>
    <x v="2"/>
    <s v="Ravi"/>
    <s v="Net Banking"/>
    <s v="Cancelled"/>
  </r>
  <r>
    <s v="SO10166"/>
    <x v="38"/>
    <s v="C011"/>
    <s v="Rohan Gupta"/>
    <s v="Lucknow"/>
    <x v="0"/>
    <s v="Mid-Market"/>
    <s v="P010"/>
    <s v="Conference Camera"/>
    <x v="1"/>
    <s v="Camera"/>
    <n v="7"/>
    <n v="16500"/>
    <n v="0"/>
    <n v="115500"/>
    <n v="0"/>
    <n v="0"/>
    <n v="71487.490000000005"/>
    <n v="0"/>
    <n v="0"/>
    <x v="0"/>
    <s v="Sneha"/>
    <s v="Net Banking"/>
    <s v="Cancelled"/>
  </r>
  <r>
    <s v="SO10147"/>
    <x v="39"/>
    <s v="C010"/>
    <s v="Meera Nair"/>
    <s v="Kochi"/>
    <x v="1"/>
    <s v="SMB"/>
    <s v="P004"/>
    <s v="Wireless Keyboard"/>
    <x v="2"/>
    <s v="Keyboard"/>
    <n v="5"/>
    <n v="3200"/>
    <n v="0.05"/>
    <n v="16000"/>
    <n v="800"/>
    <n v="15200"/>
    <n v="10012.99"/>
    <n v="5187.01"/>
    <n v="0.34125065789473685"/>
    <x v="1"/>
    <s v="Sanjay"/>
    <s v="Net Banking"/>
    <s v="Completed"/>
  </r>
  <r>
    <s v="SO10122"/>
    <x v="40"/>
    <s v="C014"/>
    <s v="Pooja Shah"/>
    <s v="Surat"/>
    <x v="3"/>
    <s v="SMB"/>
    <s v="P002"/>
    <s v="Laptop Air 13"/>
    <x v="1"/>
    <s v="Standard Laptop"/>
    <n v="1"/>
    <n v="62000"/>
    <n v="0"/>
    <n v="62000"/>
    <n v="0"/>
    <n v="62000"/>
    <n v="40488.949999999997"/>
    <n v="21511.05"/>
    <n v="0.34695241935483867"/>
    <x v="2"/>
    <s v="Ravi"/>
    <s v="UPI"/>
    <s v="Completed"/>
  </r>
  <r>
    <s v="SO10214"/>
    <x v="40"/>
    <s v="C020"/>
    <s v="Tanya Kapoor"/>
    <s v="Nagpur"/>
    <x v="4"/>
    <s v="SMB"/>
    <s v="P009"/>
    <s v="Standing Desk"/>
    <x v="0"/>
    <s v="Desk"/>
    <n v="6"/>
    <n v="22000"/>
    <n v="0.15"/>
    <n v="132000"/>
    <n v="19800"/>
    <n v="112200"/>
    <n v="73653.38"/>
    <n v="38546.620000000003"/>
    <n v="0.34355276292335118"/>
    <x v="0"/>
    <s v="Sanjay"/>
    <s v="Bank Transfer"/>
    <s v="Completed"/>
  </r>
  <r>
    <s v="SO10281"/>
    <x v="40"/>
    <s v="C013"/>
    <s v="Aditya Jain"/>
    <s v="Noida"/>
    <x v="0"/>
    <s v="Enterprise"/>
    <s v="P003"/>
    <s v="Business Monitor 24"/>
    <x v="1"/>
    <s v="Monitor"/>
    <n v="5"/>
    <n v="14500"/>
    <n v="0.05"/>
    <n v="72500"/>
    <n v="3625"/>
    <n v="68875"/>
    <n v="44384.26"/>
    <n v="24490.74"/>
    <n v="0.35558243194192379"/>
    <x v="2"/>
    <s v="Sneha"/>
    <s v="Net Banking"/>
    <s v="Completed"/>
  </r>
  <r>
    <s v="SO10012"/>
    <x v="41"/>
    <s v="C013"/>
    <s v="Aditya Jain"/>
    <s v="Noida"/>
    <x v="0"/>
    <s v="Enterprise"/>
    <s v="P008"/>
    <s v="Office Chair"/>
    <x v="0"/>
    <s v="Chair"/>
    <n v="5"/>
    <n v="12500"/>
    <n v="0"/>
    <n v="62500"/>
    <n v="0"/>
    <n v="-62500"/>
    <n v="39949.410000000003"/>
    <n v="-22550.59"/>
    <n v="0.36080943999999998"/>
    <x v="0"/>
    <s v="Amit"/>
    <s v="Net Banking"/>
    <s v="Returned"/>
  </r>
  <r>
    <s v="SO10277"/>
    <x v="42"/>
    <s v="C003"/>
    <s v="Rahul Kumar"/>
    <s v="Bengaluru"/>
    <x v="1"/>
    <s v="Enterprise"/>
    <s v="P005"/>
    <s v="Wireless Mouse"/>
    <x v="2"/>
    <s v="Mouse"/>
    <n v="7"/>
    <n v="1800"/>
    <n v="0.2"/>
    <n v="12600"/>
    <n v="2520"/>
    <n v="10080"/>
    <n v="7742.79"/>
    <n v="2337.21"/>
    <n v="0.23186607142857144"/>
    <x v="0"/>
    <s v="Neeraj"/>
    <s v="Bank Transfer"/>
    <s v="Completed"/>
  </r>
  <r>
    <s v="SO10005"/>
    <x v="43"/>
    <s v="C011"/>
    <s v="Rohan Gupta"/>
    <s v="Lucknow"/>
    <x v="0"/>
    <s v="Mid-Market"/>
    <s v="P005"/>
    <s v="Wireless Mouse"/>
    <x v="2"/>
    <s v="Mouse"/>
    <n v="4"/>
    <n v="1800"/>
    <n v="0.05"/>
    <n v="7200"/>
    <n v="360"/>
    <n v="6840"/>
    <n v="4134.99"/>
    <n v="2705.01"/>
    <n v="0.39546929824561405"/>
    <x v="2"/>
    <s v="Amit"/>
    <s v="Bank Transfer"/>
    <s v="Completed"/>
  </r>
  <r>
    <s v="SO10165"/>
    <x v="43"/>
    <s v="C008"/>
    <s v="Neha Verma"/>
    <s v="Jaipur"/>
    <x v="0"/>
    <s v="SMB"/>
    <s v="P003"/>
    <s v="Business Monitor 24"/>
    <x v="1"/>
    <s v="Monitor"/>
    <n v="2"/>
    <n v="14500"/>
    <n v="0.05"/>
    <n v="29000"/>
    <n v="1450"/>
    <n v="27550"/>
    <n v="21562.36"/>
    <n v="5987.64"/>
    <n v="0.2173372050816697"/>
    <x v="0"/>
    <s v="Kavita"/>
    <s v="Credit Card"/>
    <s v="Completed"/>
  </r>
  <r>
    <s v="SO10144"/>
    <x v="44"/>
    <s v="C002"/>
    <s v="Priya Singh"/>
    <s v="Mumbai"/>
    <x v="3"/>
    <s v="SMB"/>
    <s v="P003"/>
    <s v="Business Monitor 24"/>
    <x v="1"/>
    <s v="Monitor"/>
    <n v="1"/>
    <n v="14500"/>
    <n v="0.2"/>
    <n v="14500"/>
    <n v="2900"/>
    <n v="11600"/>
    <n v="6955.12"/>
    <n v="4644.88"/>
    <n v="0.40042068965517241"/>
    <x v="0"/>
    <s v="Neeraj"/>
    <s v="Net Banking"/>
    <s v="Completed"/>
  </r>
  <r>
    <s v="SO10017"/>
    <x v="45"/>
    <s v="C005"/>
    <s v="Vikram Patel"/>
    <s v="Ahmedabad"/>
    <x v="3"/>
    <s v="Mid-Market"/>
    <s v="P006"/>
    <s v="Office Headset"/>
    <x v="2"/>
    <s v="Headset"/>
    <n v="1"/>
    <n v="4200"/>
    <n v="0.15"/>
    <n v="4200"/>
    <n v="630"/>
    <n v="3570"/>
    <n v="2348.34"/>
    <n v="1221.6600000000001"/>
    <n v="0.34220168067226892"/>
    <x v="2"/>
    <s v="Amit"/>
    <s v="Bank Transfer"/>
    <s v="Completed"/>
  </r>
  <r>
    <s v="SO10019"/>
    <x v="46"/>
    <s v="C016"/>
    <s v="Divya Iyer"/>
    <s v="Coimbatore"/>
    <x v="1"/>
    <s v="SMB"/>
    <s v="P009"/>
    <s v="Standing Desk"/>
    <x v="0"/>
    <s v="Desk"/>
    <n v="5"/>
    <n v="22000"/>
    <n v="0.15"/>
    <n v="110000"/>
    <n v="16500"/>
    <n v="93500"/>
    <n v="73807.399999999994"/>
    <n v="19692.599999999999"/>
    <n v="0.21061604278074864"/>
    <x v="2"/>
    <s v="Kavita"/>
    <s v="UPI"/>
    <s v="Completed"/>
  </r>
  <r>
    <s v="SO10027"/>
    <x v="47"/>
    <s v="C003"/>
    <s v="Rahul Kumar"/>
    <s v="Bengaluru"/>
    <x v="1"/>
    <s v="Enterprise"/>
    <s v="P004"/>
    <s v="Wireless Keyboard"/>
    <x v="2"/>
    <s v="Keyboard"/>
    <n v="7"/>
    <n v="3200"/>
    <n v="0.1"/>
    <n v="22400"/>
    <n v="2240"/>
    <n v="20160"/>
    <n v="14021.8"/>
    <n v="6138.2"/>
    <n v="0.30447420634920636"/>
    <x v="2"/>
    <s v="Sneha"/>
    <s v="Net Banking"/>
    <s v="Completed"/>
  </r>
  <r>
    <s v="SO10117"/>
    <x v="48"/>
    <s v="C011"/>
    <s v="Rohan Gupta"/>
    <s v="Lucknow"/>
    <x v="0"/>
    <s v="Mid-Market"/>
    <s v="P007"/>
    <s v="Docking Station"/>
    <x v="2"/>
    <s v="Dock"/>
    <n v="4"/>
    <n v="8900"/>
    <n v="0"/>
    <n v="35600"/>
    <n v="0"/>
    <n v="35600"/>
    <n v="27367.97"/>
    <n v="8232.0300000000007"/>
    <n v="0.231236797752809"/>
    <x v="0"/>
    <s v="Kavita"/>
    <s v="Bank Transfer"/>
    <s v="Completed"/>
  </r>
  <r>
    <s v="SO10228"/>
    <x v="48"/>
    <s v="C018"/>
    <s v="Kavya Menon"/>
    <s v="Thiruvananthapuram"/>
    <x v="1"/>
    <s v="SMB"/>
    <s v="P001"/>
    <s v="Laptop Pro 14"/>
    <x v="1"/>
    <s v="Premium Laptop"/>
    <n v="7"/>
    <n v="78000"/>
    <n v="0"/>
    <n v="546000"/>
    <n v="0"/>
    <n v="546000"/>
    <n v="439061.22"/>
    <n v="106938.78"/>
    <n v="0.19585857142857144"/>
    <x v="1"/>
    <s v="Neeraj"/>
    <s v="UPI"/>
    <s v="Completed"/>
  </r>
  <r>
    <s v="SO10042"/>
    <x v="49"/>
    <s v="C008"/>
    <s v="Neha Verma"/>
    <s v="Jaipur"/>
    <x v="0"/>
    <s v="SMB"/>
    <s v="P003"/>
    <s v="Business Monitor 24"/>
    <x v="1"/>
    <s v="Monitor"/>
    <n v="7"/>
    <n v="14500"/>
    <n v="0"/>
    <n v="101500"/>
    <n v="0"/>
    <n v="101500"/>
    <n v="63239.23"/>
    <n v="38260.769999999997"/>
    <n v="0.37695339901477831"/>
    <x v="1"/>
    <s v="Sanjay"/>
    <s v="UPI"/>
    <s v="Completed"/>
  </r>
  <r>
    <s v="SO10285"/>
    <x v="49"/>
    <s v="C016"/>
    <s v="Divya Iyer"/>
    <s v="Coimbatore"/>
    <x v="1"/>
    <s v="SMB"/>
    <s v="P006"/>
    <s v="Office Headset"/>
    <x v="2"/>
    <s v="Headset"/>
    <n v="7"/>
    <n v="4200"/>
    <n v="0.05"/>
    <n v="29400"/>
    <n v="1470"/>
    <n v="0"/>
    <n v="18153.04"/>
    <n v="0"/>
    <n v="0"/>
    <x v="0"/>
    <s v="Neeraj"/>
    <s v="UPI"/>
    <s v="Cancelled"/>
  </r>
  <r>
    <s v="SO10065"/>
    <x v="50"/>
    <s v="C005"/>
    <s v="Vikram Patel"/>
    <s v="Ahmedabad"/>
    <x v="3"/>
    <s v="Mid-Market"/>
    <s v="P008"/>
    <s v="Office Chair"/>
    <x v="0"/>
    <s v="Chair"/>
    <n v="1"/>
    <n v="12500"/>
    <n v="0.05"/>
    <n v="12500"/>
    <n v="625"/>
    <n v="11875"/>
    <n v="7967.95"/>
    <n v="3907.05"/>
    <n v="0.3290147368421053"/>
    <x v="1"/>
    <s v="Amit"/>
    <s v="Bank Transfer"/>
    <s v="Completed"/>
  </r>
  <r>
    <s v="SO10297"/>
    <x v="51"/>
    <s v="C013"/>
    <s v="Aditya Jain"/>
    <s v="Noida"/>
    <x v="0"/>
    <s v="Enterprise"/>
    <s v="P003"/>
    <s v="Business Monitor 24"/>
    <x v="1"/>
    <s v="Monitor"/>
    <n v="7"/>
    <n v="14500"/>
    <n v="0.1"/>
    <n v="101500"/>
    <n v="10150"/>
    <n v="-91350"/>
    <n v="53623.01"/>
    <n v="-37726.99"/>
    <n v="0.41299386973180074"/>
    <x v="2"/>
    <s v="Neeraj"/>
    <s v="Net Banking"/>
    <s v="Returned"/>
  </r>
  <r>
    <s v="SO10103"/>
    <x v="52"/>
    <s v="C015"/>
    <s v="Manish Yadav"/>
    <s v="Gurugram"/>
    <x v="0"/>
    <s v="Mid-Market"/>
    <s v="P006"/>
    <s v="Office Headset"/>
    <x v="2"/>
    <s v="Headset"/>
    <n v="4"/>
    <n v="4200"/>
    <n v="0.15"/>
    <n v="16800"/>
    <n v="2520"/>
    <n v="14280"/>
    <n v="9594.92"/>
    <n v="4685.08"/>
    <n v="0.32808683473389355"/>
    <x v="2"/>
    <s v="Amit"/>
    <s v="Net Banking"/>
    <s v="Completed"/>
  </r>
  <r>
    <s v="SO10207"/>
    <x v="53"/>
    <s v="C019"/>
    <s v="Sahil Khan"/>
    <s v="Indore"/>
    <x v="4"/>
    <s v="Mid-Market"/>
    <s v="P006"/>
    <s v="Office Headset"/>
    <x v="2"/>
    <s v="Headset"/>
    <n v="3"/>
    <n v="4200"/>
    <n v="0.1"/>
    <n v="12600"/>
    <n v="1260"/>
    <n v="11340"/>
    <n v="9287.83"/>
    <n v="2052.17"/>
    <n v="0.1809673721340388"/>
    <x v="1"/>
    <s v="Amit"/>
    <s v="Net Banking"/>
    <s v="Completed"/>
  </r>
  <r>
    <s v="SO10168"/>
    <x v="54"/>
    <s v="C010"/>
    <s v="Meera Nair"/>
    <s v="Kochi"/>
    <x v="1"/>
    <s v="SMB"/>
    <s v="P008"/>
    <s v="Office Chair"/>
    <x v="0"/>
    <s v="Chair"/>
    <n v="6"/>
    <n v="12500"/>
    <n v="0.2"/>
    <n v="75000"/>
    <n v="15000"/>
    <n v="60000"/>
    <n v="48438.67"/>
    <n v="11561.33"/>
    <n v="0.19268883333333334"/>
    <x v="1"/>
    <s v="Amit"/>
    <s v="Net Banking"/>
    <s v="Completed"/>
  </r>
  <r>
    <s v="SO10283"/>
    <x v="55"/>
    <s v="C020"/>
    <s v="Tanya Kapoor"/>
    <s v="Nagpur"/>
    <x v="4"/>
    <s v="SMB"/>
    <s v="P010"/>
    <s v="Conference Camera"/>
    <x v="1"/>
    <s v="Camera"/>
    <n v="8"/>
    <n v="16500"/>
    <n v="0"/>
    <n v="132000"/>
    <n v="0"/>
    <n v="132000"/>
    <n v="80852.31"/>
    <n v="51147.69"/>
    <n v="0.38748250000000001"/>
    <x v="1"/>
    <s v="Amit"/>
    <s v="Net Banking"/>
    <s v="Completed"/>
  </r>
  <r>
    <s v="SO10259"/>
    <x v="56"/>
    <s v="C016"/>
    <s v="Divya Iyer"/>
    <s v="Coimbatore"/>
    <x v="1"/>
    <s v="SMB"/>
    <s v="P006"/>
    <s v="Office Headset"/>
    <x v="2"/>
    <s v="Headset"/>
    <n v="6"/>
    <n v="4200"/>
    <n v="0.05"/>
    <n v="25200"/>
    <n v="1260"/>
    <n v="-23940"/>
    <n v="16263.48"/>
    <n v="-7676.52"/>
    <n v="0.32065664160401003"/>
    <x v="2"/>
    <s v="Sanjay"/>
    <s v="UPI"/>
    <s v="Returned"/>
  </r>
  <r>
    <s v="SO10061"/>
    <x v="57"/>
    <s v="C014"/>
    <s v="Pooja Shah"/>
    <s v="Surat"/>
    <x v="3"/>
    <s v="SMB"/>
    <s v="P001"/>
    <s v="Laptop Pro 14"/>
    <x v="1"/>
    <s v="Premium Laptop"/>
    <n v="7"/>
    <n v="78000"/>
    <n v="0.1"/>
    <n v="546000"/>
    <n v="54600"/>
    <n v="-491400"/>
    <n v="391725.03"/>
    <n v="-99674.97"/>
    <n v="0.20283876678876678"/>
    <x v="0"/>
    <s v="Ravi"/>
    <s v="Net Banking"/>
    <s v="Returned"/>
  </r>
  <r>
    <s v="SO10241"/>
    <x v="58"/>
    <s v="C009"/>
    <s v="Arjun Rao"/>
    <s v="Chennai"/>
    <x v="1"/>
    <s v="Enterprise"/>
    <s v="P001"/>
    <s v="Laptop Pro 14"/>
    <x v="1"/>
    <s v="Premium Laptop"/>
    <n v="2"/>
    <n v="78000"/>
    <n v="0"/>
    <n v="156000"/>
    <n v="0"/>
    <n v="0"/>
    <n v="106343.23"/>
    <n v="0"/>
    <n v="0"/>
    <x v="2"/>
    <s v="Kavita"/>
    <s v="Credit Card"/>
    <s v="Cancelled"/>
  </r>
  <r>
    <s v="SO10004"/>
    <x v="59"/>
    <s v="C018"/>
    <s v="Kavya Menon"/>
    <s v="Thiruvananthapuram"/>
    <x v="1"/>
    <s v="SMB"/>
    <s v="P007"/>
    <s v="Docking Station"/>
    <x v="2"/>
    <s v="Dock"/>
    <n v="8"/>
    <n v="8900"/>
    <n v="0.15"/>
    <n v="71200"/>
    <n v="10680"/>
    <n v="60520"/>
    <n v="39142.26"/>
    <n v="21377.74"/>
    <n v="0.35323430270984801"/>
    <x v="2"/>
    <s v="Sanjay"/>
    <s v="Net Banking"/>
    <s v="Completed"/>
  </r>
  <r>
    <s v="SO10056"/>
    <x v="59"/>
    <s v="C004"/>
    <s v="Sneha Reddy"/>
    <s v="Hyderabad"/>
    <x v="1"/>
    <s v="SMB"/>
    <s v="P007"/>
    <s v="Docking Station"/>
    <x v="2"/>
    <s v="Dock"/>
    <n v="3"/>
    <n v="8900"/>
    <n v="0.2"/>
    <n v="26700"/>
    <n v="5340"/>
    <n v="21360"/>
    <n v="15044.06"/>
    <n v="6315.94"/>
    <n v="0.29569007490636701"/>
    <x v="0"/>
    <s v="Sneha"/>
    <s v="Credit Card"/>
    <s v="Completed"/>
  </r>
  <r>
    <s v="SO10171"/>
    <x v="60"/>
    <s v="C014"/>
    <s v="Pooja Shah"/>
    <s v="Surat"/>
    <x v="3"/>
    <s v="SMB"/>
    <s v="P002"/>
    <s v="Laptop Air 13"/>
    <x v="1"/>
    <s v="Standard Laptop"/>
    <n v="8"/>
    <n v="62000"/>
    <n v="0.05"/>
    <n v="496000"/>
    <n v="24800"/>
    <n v="471200"/>
    <n v="378521.21"/>
    <n v="92678.79"/>
    <n v="0.19668673599320882"/>
    <x v="2"/>
    <s v="Neeraj"/>
    <s v="Bank Transfer"/>
    <s v="Completed"/>
  </r>
  <r>
    <s v="SO10044"/>
    <x v="61"/>
    <s v="C012"/>
    <s v="Ishita Roy"/>
    <s v="Bhubaneswar"/>
    <x v="2"/>
    <s v="SMB"/>
    <s v="P005"/>
    <s v="Wireless Mouse"/>
    <x v="2"/>
    <s v="Mouse"/>
    <n v="4"/>
    <n v="1800"/>
    <n v="0"/>
    <n v="7200"/>
    <n v="0"/>
    <n v="7200"/>
    <n v="5316.54"/>
    <n v="1883.46"/>
    <n v="0.26159166666666667"/>
    <x v="1"/>
    <s v="Amit"/>
    <s v="Credit Card"/>
    <s v="Completed"/>
  </r>
  <r>
    <s v="SO10128"/>
    <x v="62"/>
    <s v="C019"/>
    <s v="Sahil Khan"/>
    <s v="Indore"/>
    <x v="4"/>
    <s v="Mid-Market"/>
    <s v="P004"/>
    <s v="Wireless Keyboard"/>
    <x v="2"/>
    <s v="Keyboard"/>
    <n v="6"/>
    <n v="3200"/>
    <n v="0"/>
    <n v="19200"/>
    <n v="0"/>
    <n v="-19200"/>
    <n v="14770.07"/>
    <n v="-4429.93"/>
    <n v="0.23072552083333334"/>
    <x v="2"/>
    <s v="Amit"/>
    <s v="UPI"/>
    <s v="Returned"/>
  </r>
  <r>
    <s v="SO10248"/>
    <x v="62"/>
    <s v="C013"/>
    <s v="Aditya Jain"/>
    <s v="Noida"/>
    <x v="0"/>
    <s v="Enterprise"/>
    <s v="P008"/>
    <s v="Office Chair"/>
    <x v="0"/>
    <s v="Chair"/>
    <n v="4"/>
    <n v="12500"/>
    <n v="0"/>
    <n v="50000"/>
    <n v="0"/>
    <n v="50000"/>
    <n v="30681.63"/>
    <n v="19318.37"/>
    <n v="0.38636739999999997"/>
    <x v="2"/>
    <s v="Sanjay"/>
    <s v="Bank Transfer"/>
    <s v="Completed"/>
  </r>
  <r>
    <s v="SO10175"/>
    <x v="63"/>
    <s v="C004"/>
    <s v="Sneha Reddy"/>
    <s v="Hyderabad"/>
    <x v="1"/>
    <s v="SMB"/>
    <s v="P005"/>
    <s v="Wireless Mouse"/>
    <x v="2"/>
    <s v="Mouse"/>
    <n v="5"/>
    <n v="1800"/>
    <n v="0"/>
    <n v="9000"/>
    <n v="0"/>
    <n v="9000"/>
    <n v="5323.14"/>
    <n v="3676.86"/>
    <n v="0.40854000000000001"/>
    <x v="0"/>
    <s v="Kavita"/>
    <s v="Net Banking"/>
    <s v="Completed"/>
  </r>
  <r>
    <s v="SO10033"/>
    <x v="64"/>
    <s v="C007"/>
    <s v="Karan Mehta"/>
    <s v="Pune"/>
    <x v="3"/>
    <s v="Mid-Market"/>
    <s v="P006"/>
    <s v="Office Headset"/>
    <x v="2"/>
    <s v="Headset"/>
    <n v="5"/>
    <n v="4200"/>
    <n v="0.1"/>
    <n v="21000"/>
    <n v="2100"/>
    <n v="0"/>
    <n v="11555.66"/>
    <n v="0"/>
    <n v="0"/>
    <x v="1"/>
    <s v="Neeraj"/>
    <s v="Bank Transfer"/>
    <s v="Cancelled"/>
  </r>
  <r>
    <s v="SO10018"/>
    <x v="65"/>
    <s v="C008"/>
    <s v="Neha Verma"/>
    <s v="Jaipur"/>
    <x v="0"/>
    <s v="SMB"/>
    <s v="P001"/>
    <s v="Laptop Pro 14"/>
    <x v="1"/>
    <s v="Premium Laptop"/>
    <n v="2"/>
    <n v="78000"/>
    <n v="0"/>
    <n v="156000"/>
    <n v="0"/>
    <n v="156000"/>
    <n v="117882.62"/>
    <n v="38117.379999999997"/>
    <n v="0.24434217948717948"/>
    <x v="0"/>
    <s v="Sneha"/>
    <s v="UPI"/>
    <s v="Completed"/>
  </r>
  <r>
    <s v="SO10077"/>
    <x v="65"/>
    <s v="C016"/>
    <s v="Divya Iyer"/>
    <s v="Coimbatore"/>
    <x v="1"/>
    <s v="SMB"/>
    <s v="P009"/>
    <s v="Standing Desk"/>
    <x v="0"/>
    <s v="Desk"/>
    <n v="8"/>
    <n v="22000"/>
    <n v="0.2"/>
    <n v="176000"/>
    <n v="35200"/>
    <n v="140800"/>
    <n v="105718.58"/>
    <n v="35081.42"/>
    <n v="0.24915781249999999"/>
    <x v="2"/>
    <s v="Ravi"/>
    <s v="Bank Transfer"/>
    <s v="Completed"/>
  </r>
  <r>
    <s v="SO10273"/>
    <x v="65"/>
    <s v="C006"/>
    <s v="Ananya Das"/>
    <s v="Kolkata"/>
    <x v="2"/>
    <s v="SMB"/>
    <s v="P010"/>
    <s v="Conference Camera"/>
    <x v="1"/>
    <s v="Camera"/>
    <n v="7"/>
    <n v="16500"/>
    <n v="0.2"/>
    <n v="115500"/>
    <n v="23100"/>
    <n v="92400"/>
    <n v="73473.36"/>
    <n v="18926.64"/>
    <n v="0.20483376623376623"/>
    <x v="1"/>
    <s v="Sanjay"/>
    <s v="UPI"/>
    <s v="Completed"/>
  </r>
  <r>
    <s v="SO10288"/>
    <x v="65"/>
    <s v="C005"/>
    <s v="Vikram Patel"/>
    <s v="Ahmedabad"/>
    <x v="3"/>
    <s v="Mid-Market"/>
    <s v="P005"/>
    <s v="Wireless Mouse"/>
    <x v="2"/>
    <s v="Mouse"/>
    <n v="5"/>
    <n v="1800"/>
    <n v="0.2"/>
    <n v="9000"/>
    <n v="1800"/>
    <n v="7200"/>
    <n v="4442.3599999999997"/>
    <n v="2757.64"/>
    <n v="0.38300555555555554"/>
    <x v="1"/>
    <s v="Ravi"/>
    <s v="Net Banking"/>
    <s v="Completed"/>
  </r>
  <r>
    <s v="SO10268"/>
    <x v="66"/>
    <s v="C015"/>
    <s v="Manish Yadav"/>
    <s v="Gurugram"/>
    <x v="0"/>
    <s v="Mid-Market"/>
    <s v="P010"/>
    <s v="Conference Camera"/>
    <x v="1"/>
    <s v="Camera"/>
    <n v="4"/>
    <n v="16500"/>
    <n v="0.05"/>
    <n v="66000"/>
    <n v="3300"/>
    <n v="62700"/>
    <n v="46659.46"/>
    <n v="16040.54"/>
    <n v="0.25582998405103669"/>
    <x v="0"/>
    <s v="Sanjay"/>
    <s v="Credit Card"/>
    <s v="Completed"/>
  </r>
  <r>
    <s v="SO10237"/>
    <x v="67"/>
    <s v="C018"/>
    <s v="Kavya Menon"/>
    <s v="Thiruvananthapuram"/>
    <x v="1"/>
    <s v="SMB"/>
    <s v="P004"/>
    <s v="Wireless Keyboard"/>
    <x v="2"/>
    <s v="Keyboard"/>
    <n v="2"/>
    <n v="3200"/>
    <n v="0.15"/>
    <n v="6400"/>
    <n v="960"/>
    <n v="0"/>
    <n v="3738.47"/>
    <n v="0"/>
    <n v="0"/>
    <x v="1"/>
    <s v="Ravi"/>
    <s v="Credit Card"/>
    <s v="Cancelled"/>
  </r>
  <r>
    <s v="SO10129"/>
    <x v="68"/>
    <s v="C005"/>
    <s v="Vikram Patel"/>
    <s v="Ahmedabad"/>
    <x v="3"/>
    <s v="Mid-Market"/>
    <s v="P009"/>
    <s v="Standing Desk"/>
    <x v="0"/>
    <s v="Desk"/>
    <n v="3"/>
    <n v="22000"/>
    <n v="0"/>
    <n v="66000"/>
    <n v="0"/>
    <n v="66000"/>
    <n v="48751.15"/>
    <n v="17248.849999999999"/>
    <n v="0.26134621212121212"/>
    <x v="2"/>
    <s v="Ravi"/>
    <s v="Bank Transfer"/>
    <s v="Completed"/>
  </r>
  <r>
    <s v="SO10233"/>
    <x v="69"/>
    <s v="C008"/>
    <s v="Neha Verma"/>
    <s v="Jaipur"/>
    <x v="0"/>
    <s v="SMB"/>
    <s v="P001"/>
    <s v="Laptop Pro 14"/>
    <x v="1"/>
    <s v="Premium Laptop"/>
    <n v="7"/>
    <n v="78000"/>
    <n v="0"/>
    <n v="546000"/>
    <n v="0"/>
    <n v="546000"/>
    <n v="375220.22"/>
    <n v="170779.78"/>
    <n v="0.31278347985347987"/>
    <x v="1"/>
    <s v="Amit"/>
    <s v="Credit Card"/>
    <s v="Completed"/>
  </r>
  <r>
    <s v="SO10028"/>
    <x v="70"/>
    <s v="C001"/>
    <s v="Aarav Sharma"/>
    <s v="Delhi"/>
    <x v="0"/>
    <s v="Enterprise"/>
    <s v="P007"/>
    <s v="Docking Station"/>
    <x v="2"/>
    <s v="Dock"/>
    <n v="8"/>
    <n v="8900"/>
    <n v="0.05"/>
    <n v="71200"/>
    <n v="3560"/>
    <n v="0"/>
    <n v="46098.13"/>
    <n v="0"/>
    <n v="0"/>
    <x v="0"/>
    <s v="Sanjay"/>
    <s v="Net Banking"/>
    <s v="Cancelled"/>
  </r>
  <r>
    <s v="SO10087"/>
    <x v="70"/>
    <s v="C007"/>
    <s v="Karan Mehta"/>
    <s v="Pune"/>
    <x v="3"/>
    <s v="Mid-Market"/>
    <s v="P004"/>
    <s v="Wireless Keyboard"/>
    <x v="2"/>
    <s v="Keyboard"/>
    <n v="2"/>
    <n v="3200"/>
    <n v="0"/>
    <n v="6400"/>
    <n v="0"/>
    <n v="-6400"/>
    <n v="4080.43"/>
    <n v="-2319.5700000000002"/>
    <n v="0.36243281250000003"/>
    <x v="2"/>
    <s v="Sneha"/>
    <s v="Credit Card"/>
    <s v="Returned"/>
  </r>
  <r>
    <s v="SO10089"/>
    <x v="70"/>
    <s v="C003"/>
    <s v="Rahul Kumar"/>
    <s v="Bengaluru"/>
    <x v="1"/>
    <s v="Enterprise"/>
    <s v="P004"/>
    <s v="Wireless Keyboard"/>
    <x v="2"/>
    <s v="Keyboard"/>
    <n v="4"/>
    <n v="3200"/>
    <n v="0.1"/>
    <n v="12800"/>
    <n v="1280"/>
    <n v="11520"/>
    <n v="6998.93"/>
    <n v="4521.07"/>
    <n v="0.39245399305555551"/>
    <x v="0"/>
    <s v="Sneha"/>
    <s v="Bank Transfer"/>
    <s v="Completed"/>
  </r>
  <r>
    <s v="SO10015"/>
    <x v="71"/>
    <s v="C004"/>
    <s v="Sneha Reddy"/>
    <s v="Hyderabad"/>
    <x v="1"/>
    <s v="SMB"/>
    <s v="P009"/>
    <s v="Standing Desk"/>
    <x v="0"/>
    <s v="Desk"/>
    <n v="6"/>
    <n v="22000"/>
    <n v="0"/>
    <n v="132000"/>
    <n v="0"/>
    <n v="132000"/>
    <n v="85858.08"/>
    <n v="46141.919999999998"/>
    <n v="0.34955999999999998"/>
    <x v="1"/>
    <s v="Ravi"/>
    <s v="Bank Transfer"/>
    <s v="Completed"/>
  </r>
  <r>
    <s v="SO10010"/>
    <x v="72"/>
    <s v="C015"/>
    <s v="Manish Yadav"/>
    <s v="Gurugram"/>
    <x v="0"/>
    <s v="Mid-Market"/>
    <s v="P007"/>
    <s v="Docking Station"/>
    <x v="2"/>
    <s v="Dock"/>
    <n v="4"/>
    <n v="8900"/>
    <n v="0.2"/>
    <n v="35600"/>
    <n v="7120"/>
    <n v="28480"/>
    <n v="18734.939999999999"/>
    <n v="9745.06"/>
    <n v="0.34217205056179772"/>
    <x v="2"/>
    <s v="Ravi"/>
    <s v="Bank Transfer"/>
    <s v="Completed"/>
  </r>
  <r>
    <s v="SO10063"/>
    <x v="73"/>
    <s v="C016"/>
    <s v="Divya Iyer"/>
    <s v="Coimbatore"/>
    <x v="1"/>
    <s v="SMB"/>
    <s v="P004"/>
    <s v="Wireless Keyboard"/>
    <x v="2"/>
    <s v="Keyboard"/>
    <n v="7"/>
    <n v="3200"/>
    <n v="0.1"/>
    <n v="22400"/>
    <n v="2240"/>
    <n v="20160"/>
    <n v="11833.23"/>
    <n v="8326.77"/>
    <n v="0.41303422619047619"/>
    <x v="0"/>
    <s v="Sanjay"/>
    <s v="Net Banking"/>
    <s v="Completed"/>
  </r>
  <r>
    <s v="SO10183"/>
    <x v="73"/>
    <s v="C002"/>
    <s v="Priya Singh"/>
    <s v="Mumbai"/>
    <x v="3"/>
    <s v="SMB"/>
    <s v="P006"/>
    <s v="Office Headset"/>
    <x v="2"/>
    <s v="Headset"/>
    <n v="2"/>
    <n v="4200"/>
    <n v="0.05"/>
    <n v="8400"/>
    <n v="420"/>
    <n v="7980"/>
    <n v="5465.25"/>
    <n v="2514.75"/>
    <n v="0.31513157894736843"/>
    <x v="0"/>
    <s v="Neeraj"/>
    <s v="Net Banking"/>
    <s v="Completed"/>
  </r>
  <r>
    <s v="SO10002"/>
    <x v="74"/>
    <s v="C004"/>
    <s v="Sneha Reddy"/>
    <s v="Hyderabad"/>
    <x v="1"/>
    <s v="SMB"/>
    <s v="P001"/>
    <s v="Laptop Pro 14"/>
    <x v="1"/>
    <s v="Premium Laptop"/>
    <n v="4"/>
    <n v="78000"/>
    <n v="0"/>
    <n v="312000"/>
    <n v="0"/>
    <n v="312000"/>
    <n v="191408.6"/>
    <n v="120591.4"/>
    <n v="0.38651089743589739"/>
    <x v="0"/>
    <s v="Sanjay"/>
    <s v="Credit Card"/>
    <s v="Completed"/>
  </r>
  <r>
    <s v="SO10114"/>
    <x v="74"/>
    <s v="C001"/>
    <s v="Aarav Sharma"/>
    <s v="Delhi"/>
    <x v="0"/>
    <s v="Enterprise"/>
    <s v="P007"/>
    <s v="Docking Station"/>
    <x v="2"/>
    <s v="Dock"/>
    <n v="1"/>
    <n v="8900"/>
    <n v="0.15"/>
    <n v="8900"/>
    <n v="1335"/>
    <n v="0"/>
    <n v="5958.32"/>
    <n v="0"/>
    <n v="0"/>
    <x v="2"/>
    <s v="Kavita"/>
    <s v="Net Banking"/>
    <s v="Cancelled"/>
  </r>
  <r>
    <s v="SO10187"/>
    <x v="74"/>
    <s v="C020"/>
    <s v="Tanya Kapoor"/>
    <s v="Nagpur"/>
    <x v="4"/>
    <s v="SMB"/>
    <s v="P007"/>
    <s v="Docking Station"/>
    <x v="2"/>
    <s v="Dock"/>
    <n v="1"/>
    <n v="8900"/>
    <n v="0"/>
    <n v="8900"/>
    <n v="0"/>
    <n v="8900"/>
    <n v="6595.65"/>
    <n v="2304.35"/>
    <n v="0.25891573033707865"/>
    <x v="1"/>
    <s v="Kavita"/>
    <s v="UPI"/>
    <s v="Completed"/>
  </r>
  <r>
    <s v="SO10250"/>
    <x v="74"/>
    <s v="C014"/>
    <s v="Pooja Shah"/>
    <s v="Surat"/>
    <x v="3"/>
    <s v="SMB"/>
    <s v="P005"/>
    <s v="Wireless Mouse"/>
    <x v="2"/>
    <s v="Mouse"/>
    <n v="1"/>
    <n v="1800"/>
    <n v="0.15"/>
    <n v="1800"/>
    <n v="270"/>
    <n v="0"/>
    <n v="1235.7"/>
    <n v="0"/>
    <n v="0"/>
    <x v="2"/>
    <s v="Sanjay"/>
    <s v="Net Banking"/>
    <s v="Cancelled"/>
  </r>
  <r>
    <s v="SO10126"/>
    <x v="75"/>
    <s v="C002"/>
    <s v="Priya Singh"/>
    <s v="Mumbai"/>
    <x v="3"/>
    <s v="SMB"/>
    <s v="P007"/>
    <s v="Docking Station"/>
    <x v="2"/>
    <s v="Dock"/>
    <n v="4"/>
    <n v="8900"/>
    <n v="0"/>
    <n v="35600"/>
    <n v="0"/>
    <n v="35600"/>
    <n v="28756.35"/>
    <n v="6843.65"/>
    <n v="0.19223735955056179"/>
    <x v="2"/>
    <s v="Sanjay"/>
    <s v="UPI"/>
    <s v="Completed"/>
  </r>
  <r>
    <s v="SO10286"/>
    <x v="76"/>
    <s v="C011"/>
    <s v="Rohan Gupta"/>
    <s v="Lucknow"/>
    <x v="0"/>
    <s v="Mid-Market"/>
    <s v="P007"/>
    <s v="Docking Station"/>
    <x v="2"/>
    <s v="Dock"/>
    <n v="7"/>
    <n v="8900"/>
    <n v="0.05"/>
    <n v="62300"/>
    <n v="3115"/>
    <n v="-59185"/>
    <n v="35945.01"/>
    <n v="-23239.99"/>
    <n v="0.39266689194897358"/>
    <x v="2"/>
    <s v="Kavita"/>
    <s v="UPI"/>
    <s v="Returned"/>
  </r>
  <r>
    <s v="SO10095"/>
    <x v="77"/>
    <s v="C014"/>
    <s v="Pooja Shah"/>
    <s v="Surat"/>
    <x v="3"/>
    <s v="SMB"/>
    <s v="P008"/>
    <s v="Office Chair"/>
    <x v="0"/>
    <s v="Chair"/>
    <n v="7"/>
    <n v="12500"/>
    <n v="0.15"/>
    <n v="87500"/>
    <n v="13125"/>
    <n v="74375"/>
    <n v="43792.54"/>
    <n v="30582.46"/>
    <n v="0.41119273949579832"/>
    <x v="1"/>
    <s v="Amit"/>
    <s v="Bank Transfer"/>
    <s v="Completed"/>
  </r>
  <r>
    <s v="SO10222"/>
    <x v="77"/>
    <s v="C008"/>
    <s v="Neha Verma"/>
    <s v="Jaipur"/>
    <x v="0"/>
    <s v="SMB"/>
    <s v="P005"/>
    <s v="Wireless Mouse"/>
    <x v="2"/>
    <s v="Mouse"/>
    <n v="4"/>
    <n v="1800"/>
    <n v="0.2"/>
    <n v="7200"/>
    <n v="1440"/>
    <n v="5760"/>
    <n v="4315.38"/>
    <n v="1444.62"/>
    <n v="0.25080208333333331"/>
    <x v="1"/>
    <s v="Amit"/>
    <s v="Bank Transfer"/>
    <s v="Completed"/>
  </r>
  <r>
    <s v="SO10280"/>
    <x v="78"/>
    <s v="C013"/>
    <s v="Aditya Jain"/>
    <s v="Noida"/>
    <x v="0"/>
    <s v="Enterprise"/>
    <s v="P001"/>
    <s v="Laptop Pro 14"/>
    <x v="1"/>
    <s v="Premium Laptop"/>
    <n v="7"/>
    <n v="78000"/>
    <n v="0.1"/>
    <n v="546000"/>
    <n v="54600"/>
    <n v="0"/>
    <n v="376904.09"/>
    <n v="0"/>
    <n v="0"/>
    <x v="0"/>
    <s v="Sneha"/>
    <s v="UPI"/>
    <s v="Cancelled"/>
  </r>
  <r>
    <s v="SO10029"/>
    <x v="79"/>
    <s v="C005"/>
    <s v="Vikram Patel"/>
    <s v="Ahmedabad"/>
    <x v="3"/>
    <s v="Mid-Market"/>
    <s v="P004"/>
    <s v="Wireless Keyboard"/>
    <x v="2"/>
    <s v="Keyboard"/>
    <n v="4"/>
    <n v="3200"/>
    <n v="0"/>
    <n v="12800"/>
    <n v="0"/>
    <n v="-12800"/>
    <n v="9203.24"/>
    <n v="-3596.76"/>
    <n v="0.28099687500000003"/>
    <x v="2"/>
    <s v="Sanjay"/>
    <s v="Bank Transfer"/>
    <s v="Returned"/>
  </r>
  <r>
    <s v="SO10081"/>
    <x v="79"/>
    <s v="C004"/>
    <s v="Sneha Reddy"/>
    <s v="Hyderabad"/>
    <x v="1"/>
    <s v="SMB"/>
    <s v="P004"/>
    <s v="Wireless Keyboard"/>
    <x v="2"/>
    <s v="Keyboard"/>
    <n v="4"/>
    <n v="3200"/>
    <n v="0.05"/>
    <n v="12800"/>
    <n v="640"/>
    <n v="12160"/>
    <n v="7576.48"/>
    <n v="4583.5200000000004"/>
    <n v="0.37693421052631582"/>
    <x v="0"/>
    <s v="Kavita"/>
    <s v="UPI"/>
    <s v="Completed"/>
  </r>
  <r>
    <s v="SO10086"/>
    <x v="80"/>
    <s v="C015"/>
    <s v="Manish Yadav"/>
    <s v="Gurugram"/>
    <x v="0"/>
    <s v="Mid-Market"/>
    <s v="P008"/>
    <s v="Office Chair"/>
    <x v="0"/>
    <s v="Chair"/>
    <n v="7"/>
    <n v="12500"/>
    <n v="0.05"/>
    <n v="87500"/>
    <n v="4375"/>
    <n v="83125"/>
    <n v="59556.66"/>
    <n v="23568.34"/>
    <n v="0.28352890225563909"/>
    <x v="0"/>
    <s v="Sanjay"/>
    <s v="Credit Card"/>
    <s v="Completed"/>
  </r>
  <r>
    <s v="SO10102"/>
    <x v="80"/>
    <s v="C001"/>
    <s v="Aarav Sharma"/>
    <s v="Delhi"/>
    <x v="0"/>
    <s v="Enterprise"/>
    <s v="P005"/>
    <s v="Wireless Mouse"/>
    <x v="2"/>
    <s v="Mouse"/>
    <n v="8"/>
    <n v="1800"/>
    <n v="0"/>
    <n v="14400"/>
    <n v="0"/>
    <n v="14400"/>
    <n v="9895.27"/>
    <n v="4504.7299999999996"/>
    <n v="0.31282847222222221"/>
    <x v="1"/>
    <s v="Amit"/>
    <s v="Net Banking"/>
    <s v="Completed"/>
  </r>
  <r>
    <s v="SO10252"/>
    <x v="81"/>
    <s v="C014"/>
    <s v="Pooja Shah"/>
    <s v="Surat"/>
    <x v="3"/>
    <s v="SMB"/>
    <s v="P003"/>
    <s v="Business Monitor 24"/>
    <x v="1"/>
    <s v="Monitor"/>
    <n v="7"/>
    <n v="14500"/>
    <n v="0"/>
    <n v="101500"/>
    <n v="0"/>
    <n v="101500"/>
    <n v="77247.58"/>
    <n v="24252.42"/>
    <n v="0.23894009852216747"/>
    <x v="2"/>
    <s v="Sneha"/>
    <s v="Bank Transfer"/>
    <s v="Completed"/>
  </r>
  <r>
    <s v="SO10282"/>
    <x v="81"/>
    <s v="C009"/>
    <s v="Arjun Rao"/>
    <s v="Chennai"/>
    <x v="1"/>
    <s v="Enterprise"/>
    <s v="P007"/>
    <s v="Docking Station"/>
    <x v="2"/>
    <s v="Dock"/>
    <n v="8"/>
    <n v="8900"/>
    <n v="0"/>
    <n v="71200"/>
    <n v="0"/>
    <n v="71200"/>
    <n v="47466.9"/>
    <n v="23733.1"/>
    <n v="0.33333005617977524"/>
    <x v="0"/>
    <s v="Sanjay"/>
    <s v="Net Banking"/>
    <s v="Completed"/>
  </r>
  <r>
    <s v="SO10116"/>
    <x v="82"/>
    <s v="C004"/>
    <s v="Sneha Reddy"/>
    <s v="Hyderabad"/>
    <x v="1"/>
    <s v="SMB"/>
    <s v="P001"/>
    <s v="Laptop Pro 14"/>
    <x v="1"/>
    <s v="Premium Laptop"/>
    <n v="8"/>
    <n v="78000"/>
    <n v="0"/>
    <n v="624000"/>
    <n v="0"/>
    <n v="0"/>
    <n v="448716.97"/>
    <n v="0"/>
    <n v="0"/>
    <x v="2"/>
    <s v="Ravi"/>
    <s v="Bank Transfer"/>
    <s v="Cancelled"/>
  </r>
  <r>
    <s v="SO10136"/>
    <x v="83"/>
    <s v="C011"/>
    <s v="Rohan Gupta"/>
    <s v="Lucknow"/>
    <x v="0"/>
    <s v="Mid-Market"/>
    <s v="P007"/>
    <s v="Docking Station"/>
    <x v="2"/>
    <s v="Dock"/>
    <n v="5"/>
    <n v="8900"/>
    <n v="0.05"/>
    <n v="44500"/>
    <n v="2225"/>
    <n v="0"/>
    <n v="34194.65"/>
    <n v="0"/>
    <n v="0"/>
    <x v="1"/>
    <s v="Ravi"/>
    <s v="Credit Card"/>
    <s v="Cancelled"/>
  </r>
  <r>
    <s v="SO10074"/>
    <x v="84"/>
    <s v="C019"/>
    <s v="Sahil Khan"/>
    <s v="Indore"/>
    <x v="4"/>
    <s v="Mid-Market"/>
    <s v="P005"/>
    <s v="Wireless Mouse"/>
    <x v="2"/>
    <s v="Mouse"/>
    <n v="4"/>
    <n v="1800"/>
    <n v="0"/>
    <n v="7200"/>
    <n v="0"/>
    <n v="7200"/>
    <n v="4657.99"/>
    <n v="2542.0100000000002"/>
    <n v="0.35305694444444446"/>
    <x v="2"/>
    <s v="Neeraj"/>
    <s v="Net Banking"/>
    <s v="Completed"/>
  </r>
  <r>
    <s v="SO10130"/>
    <x v="84"/>
    <s v="C008"/>
    <s v="Neha Verma"/>
    <s v="Jaipur"/>
    <x v="0"/>
    <s v="SMB"/>
    <s v="P010"/>
    <s v="Conference Camera"/>
    <x v="1"/>
    <s v="Camera"/>
    <n v="1"/>
    <n v="16500"/>
    <n v="0"/>
    <n v="16500"/>
    <n v="0"/>
    <n v="16500"/>
    <n v="10620.86"/>
    <n v="5879.14"/>
    <n v="0.35631151515151516"/>
    <x v="0"/>
    <s v="Neeraj"/>
    <s v="Credit Card"/>
    <s v="Completed"/>
  </r>
  <r>
    <s v="SO10232"/>
    <x v="85"/>
    <s v="C014"/>
    <s v="Pooja Shah"/>
    <s v="Surat"/>
    <x v="3"/>
    <s v="SMB"/>
    <s v="P009"/>
    <s v="Standing Desk"/>
    <x v="0"/>
    <s v="Desk"/>
    <n v="2"/>
    <n v="22000"/>
    <n v="0.1"/>
    <n v="44000"/>
    <n v="4400"/>
    <n v="39600"/>
    <n v="29328.61"/>
    <n v="10271.39"/>
    <n v="0.25937853535353533"/>
    <x v="2"/>
    <s v="Neeraj"/>
    <s v="Bank Transfer"/>
    <s v="Completed"/>
  </r>
  <r>
    <s v="SO10079"/>
    <x v="86"/>
    <s v="C014"/>
    <s v="Pooja Shah"/>
    <s v="Surat"/>
    <x v="3"/>
    <s v="SMB"/>
    <s v="P009"/>
    <s v="Standing Desk"/>
    <x v="0"/>
    <s v="Desk"/>
    <n v="6"/>
    <n v="22000"/>
    <n v="0.2"/>
    <n v="132000"/>
    <n v="26400"/>
    <n v="105600"/>
    <n v="72747.72"/>
    <n v="32852.28"/>
    <n v="0.31110113636363634"/>
    <x v="1"/>
    <s v="Sneha"/>
    <s v="Credit Card"/>
    <s v="Completed"/>
  </r>
  <r>
    <s v="SO10152"/>
    <x v="87"/>
    <s v="C011"/>
    <s v="Rohan Gupta"/>
    <s v="Lucknow"/>
    <x v="0"/>
    <s v="Mid-Market"/>
    <s v="P004"/>
    <s v="Wireless Keyboard"/>
    <x v="2"/>
    <s v="Keyboard"/>
    <n v="3"/>
    <n v="3200"/>
    <n v="0"/>
    <n v="9600"/>
    <n v="0"/>
    <n v="9600"/>
    <n v="6744.15"/>
    <n v="2855.85"/>
    <n v="0.29748437499999997"/>
    <x v="0"/>
    <s v="Kavita"/>
    <s v="UPI"/>
    <s v="Completed"/>
  </r>
  <r>
    <s v="SO10256"/>
    <x v="87"/>
    <s v="C016"/>
    <s v="Divya Iyer"/>
    <s v="Coimbatore"/>
    <x v="1"/>
    <s v="SMB"/>
    <s v="P004"/>
    <s v="Wireless Keyboard"/>
    <x v="2"/>
    <s v="Keyboard"/>
    <n v="5"/>
    <n v="3200"/>
    <n v="0"/>
    <n v="16000"/>
    <n v="0"/>
    <n v="16000"/>
    <n v="10093.34"/>
    <n v="5906.66"/>
    <n v="0.36916624999999997"/>
    <x v="0"/>
    <s v="Ravi"/>
    <s v="Net Banking"/>
    <s v="Completed"/>
  </r>
  <r>
    <s v="SO10284"/>
    <x v="88"/>
    <s v="C011"/>
    <s v="Rohan Gupta"/>
    <s v="Lucknow"/>
    <x v="0"/>
    <s v="Mid-Market"/>
    <s v="P008"/>
    <s v="Office Chair"/>
    <x v="0"/>
    <s v="Chair"/>
    <n v="7"/>
    <n v="12500"/>
    <n v="0.2"/>
    <n v="87500"/>
    <n v="17500"/>
    <n v="70000"/>
    <n v="56966.99"/>
    <n v="13033.01"/>
    <n v="0.18618585714285715"/>
    <x v="1"/>
    <s v="Amit"/>
    <s v="UPI"/>
    <s v="Completed"/>
  </r>
  <r>
    <s v="SO10201"/>
    <x v="89"/>
    <s v="C020"/>
    <s v="Tanya Kapoor"/>
    <s v="Nagpur"/>
    <x v="4"/>
    <s v="SMB"/>
    <s v="P010"/>
    <s v="Conference Camera"/>
    <x v="1"/>
    <s v="Camera"/>
    <n v="1"/>
    <n v="16500"/>
    <n v="0"/>
    <n v="16500"/>
    <n v="0"/>
    <n v="0"/>
    <n v="9891.64"/>
    <n v="0"/>
    <n v="0"/>
    <x v="0"/>
    <s v="Amit"/>
    <s v="UPI"/>
    <s v="Cancelled"/>
  </r>
  <r>
    <s v="SO10025"/>
    <x v="90"/>
    <s v="C002"/>
    <s v="Priya Singh"/>
    <s v="Mumbai"/>
    <x v="3"/>
    <s v="SMB"/>
    <s v="P007"/>
    <s v="Docking Station"/>
    <x v="2"/>
    <s v="Dock"/>
    <n v="2"/>
    <n v="8900"/>
    <n v="0"/>
    <n v="17800"/>
    <n v="0"/>
    <n v="-17800"/>
    <n v="11142.47"/>
    <n v="-6657.53"/>
    <n v="0.37401853932584267"/>
    <x v="1"/>
    <s v="Sneha"/>
    <s v="Net Banking"/>
    <s v="Returned"/>
  </r>
  <r>
    <s v="SO10106"/>
    <x v="90"/>
    <s v="C016"/>
    <s v="Divya Iyer"/>
    <s v="Coimbatore"/>
    <x v="1"/>
    <s v="SMB"/>
    <s v="P005"/>
    <s v="Wireless Mouse"/>
    <x v="2"/>
    <s v="Mouse"/>
    <n v="7"/>
    <n v="1800"/>
    <n v="0.2"/>
    <n v="12600"/>
    <n v="2520"/>
    <n v="10080"/>
    <n v="6040.7"/>
    <n v="4039.3"/>
    <n v="0.40072420634920636"/>
    <x v="0"/>
    <s v="Kavita"/>
    <s v="Net Banking"/>
    <s v="Completed"/>
  </r>
  <r>
    <s v="SO10294"/>
    <x v="91"/>
    <s v="C012"/>
    <s v="Ishita Roy"/>
    <s v="Bhubaneswar"/>
    <x v="2"/>
    <s v="SMB"/>
    <s v="P005"/>
    <s v="Wireless Mouse"/>
    <x v="2"/>
    <s v="Mouse"/>
    <n v="8"/>
    <n v="1800"/>
    <n v="0"/>
    <n v="14400"/>
    <n v="0"/>
    <n v="14400"/>
    <n v="10152.969999999999"/>
    <n v="4247.03"/>
    <n v="0.29493263888888888"/>
    <x v="1"/>
    <s v="Ravi"/>
    <s v="Net Banking"/>
    <s v="Completed"/>
  </r>
  <r>
    <s v="SO10112"/>
    <x v="92"/>
    <s v="C003"/>
    <s v="Rahul Kumar"/>
    <s v="Bengaluru"/>
    <x v="1"/>
    <s v="Enterprise"/>
    <s v="P008"/>
    <s v="Office Chair"/>
    <x v="0"/>
    <s v="Chair"/>
    <n v="5"/>
    <n v="12500"/>
    <n v="0.2"/>
    <n v="62500"/>
    <n v="12500"/>
    <n v="0"/>
    <n v="40544.35"/>
    <n v="0"/>
    <n v="0"/>
    <x v="1"/>
    <s v="Neeraj"/>
    <s v="Bank Transfer"/>
    <s v="Cancelled"/>
  </r>
  <r>
    <s v="SO10274"/>
    <x v="93"/>
    <s v="C003"/>
    <s v="Rahul Kumar"/>
    <s v="Bengaluru"/>
    <x v="1"/>
    <s v="Enterprise"/>
    <s v="P009"/>
    <s v="Standing Desk"/>
    <x v="0"/>
    <s v="Desk"/>
    <n v="1"/>
    <n v="22000"/>
    <n v="0"/>
    <n v="22000"/>
    <n v="0"/>
    <n v="22000"/>
    <n v="15067.83"/>
    <n v="6932.17"/>
    <n v="0.31509863636363639"/>
    <x v="1"/>
    <s v="Kavita"/>
    <s v="Net Banking"/>
    <s v="Completed"/>
  </r>
  <r>
    <s v="SO10062"/>
    <x v="94"/>
    <s v="C016"/>
    <s v="Divya Iyer"/>
    <s v="Coimbatore"/>
    <x v="1"/>
    <s v="SMB"/>
    <s v="P001"/>
    <s v="Laptop Pro 14"/>
    <x v="1"/>
    <s v="Premium Laptop"/>
    <n v="5"/>
    <n v="78000"/>
    <n v="0.1"/>
    <n v="390000"/>
    <n v="39000"/>
    <n v="351000"/>
    <n v="275474.46000000002"/>
    <n v="75525.539999999994"/>
    <n v="0.21517247863247863"/>
    <x v="0"/>
    <s v="Sanjay"/>
    <s v="UPI"/>
    <s v="Completed"/>
  </r>
  <r>
    <s v="SO10180"/>
    <x v="94"/>
    <s v="C005"/>
    <s v="Vikram Patel"/>
    <s v="Ahmedabad"/>
    <x v="3"/>
    <s v="Mid-Market"/>
    <s v="P001"/>
    <s v="Laptop Pro 14"/>
    <x v="1"/>
    <s v="Premium Laptop"/>
    <n v="6"/>
    <n v="78000"/>
    <n v="0.2"/>
    <n v="468000"/>
    <n v="93600"/>
    <n v="0"/>
    <n v="232884.81"/>
    <n v="0"/>
    <n v="0"/>
    <x v="1"/>
    <s v="Sanjay"/>
    <s v="Net Banking"/>
    <s v="Cancelled"/>
  </r>
  <r>
    <s v="SO10262"/>
    <x v="94"/>
    <s v="C015"/>
    <s v="Manish Yadav"/>
    <s v="Gurugram"/>
    <x v="0"/>
    <s v="Mid-Market"/>
    <s v="P003"/>
    <s v="Business Monitor 24"/>
    <x v="1"/>
    <s v="Monitor"/>
    <n v="3"/>
    <n v="14500"/>
    <n v="0"/>
    <n v="43500"/>
    <n v="0"/>
    <n v="43500"/>
    <n v="32750.07"/>
    <n v="10749.93"/>
    <n v="0.24712482758620691"/>
    <x v="2"/>
    <s v="Kavita"/>
    <s v="Credit Card"/>
    <s v="Completed"/>
  </r>
  <r>
    <s v="SO10138"/>
    <x v="95"/>
    <s v="C004"/>
    <s v="Sneha Reddy"/>
    <s v="Hyderabad"/>
    <x v="1"/>
    <s v="SMB"/>
    <s v="P007"/>
    <s v="Docking Station"/>
    <x v="2"/>
    <s v="Dock"/>
    <n v="7"/>
    <n v="8900"/>
    <n v="0.2"/>
    <n v="62300"/>
    <n v="12460"/>
    <n v="49840"/>
    <n v="29522.58"/>
    <n v="20317.419999999998"/>
    <n v="0.40765288924558585"/>
    <x v="0"/>
    <s v="Amit"/>
    <s v="Bank Transfer"/>
    <s v="Completed"/>
  </r>
  <r>
    <s v="SO10179"/>
    <x v="96"/>
    <s v="C009"/>
    <s v="Arjun Rao"/>
    <s v="Chennai"/>
    <x v="1"/>
    <s v="Enterprise"/>
    <s v="P001"/>
    <s v="Laptop Pro 14"/>
    <x v="1"/>
    <s v="Premium Laptop"/>
    <n v="2"/>
    <n v="78000"/>
    <n v="0.05"/>
    <n v="156000"/>
    <n v="7800"/>
    <n v="0"/>
    <n v="94532.37"/>
    <n v="0"/>
    <n v="0"/>
    <x v="0"/>
    <s v="Ravi"/>
    <s v="Bank Transfer"/>
    <s v="Cancelled"/>
  </r>
  <r>
    <s v="SO10109"/>
    <x v="97"/>
    <s v="C002"/>
    <s v="Priya Singh"/>
    <s v="Mumbai"/>
    <x v="3"/>
    <s v="SMB"/>
    <s v="P005"/>
    <s v="Wireless Mouse"/>
    <x v="2"/>
    <s v="Mouse"/>
    <n v="6"/>
    <n v="1800"/>
    <n v="0.1"/>
    <n v="10800"/>
    <n v="1080"/>
    <n v="-9720"/>
    <n v="5977.19"/>
    <n v="-3742.81"/>
    <n v="0.38506275720164607"/>
    <x v="1"/>
    <s v="Kavita"/>
    <s v="UPI"/>
    <s v="Returned"/>
  </r>
  <r>
    <s v="SO10013"/>
    <x v="98"/>
    <s v="C019"/>
    <s v="Sahil Khan"/>
    <s v="Indore"/>
    <x v="4"/>
    <s v="Mid-Market"/>
    <s v="P007"/>
    <s v="Docking Station"/>
    <x v="2"/>
    <s v="Dock"/>
    <n v="4"/>
    <n v="8900"/>
    <n v="0"/>
    <n v="35600"/>
    <n v="0"/>
    <n v="35600"/>
    <n v="25001.39"/>
    <n v="10598.61"/>
    <n v="0.29771376404494382"/>
    <x v="2"/>
    <s v="Ravi"/>
    <s v="UPI"/>
    <s v="Completed"/>
  </r>
  <r>
    <s v="SO10164"/>
    <x v="98"/>
    <s v="C014"/>
    <s v="Pooja Shah"/>
    <s v="Surat"/>
    <x v="3"/>
    <s v="SMB"/>
    <s v="P009"/>
    <s v="Standing Desk"/>
    <x v="0"/>
    <s v="Desk"/>
    <n v="1"/>
    <n v="22000"/>
    <n v="0.05"/>
    <n v="22000"/>
    <n v="1100"/>
    <n v="20900"/>
    <n v="13671.27"/>
    <n v="7228.73"/>
    <n v="0.34587224880382772"/>
    <x v="1"/>
    <s v="Neeraj"/>
    <s v="UPI"/>
    <s v="Completed"/>
  </r>
  <r>
    <s v="SO10167"/>
    <x v="99"/>
    <s v="C002"/>
    <s v="Priya Singh"/>
    <s v="Mumbai"/>
    <x v="3"/>
    <s v="SMB"/>
    <s v="P007"/>
    <s v="Docking Station"/>
    <x v="2"/>
    <s v="Dock"/>
    <n v="4"/>
    <n v="8900"/>
    <n v="0.1"/>
    <n v="35600"/>
    <n v="3560"/>
    <n v="0"/>
    <n v="23278.43"/>
    <n v="0"/>
    <n v="0"/>
    <x v="1"/>
    <s v="Sneha"/>
    <s v="UPI"/>
    <s v="Cancelled"/>
  </r>
  <r>
    <s v="SO10210"/>
    <x v="100"/>
    <s v="C012"/>
    <s v="Ishita Roy"/>
    <s v="Bhubaneswar"/>
    <x v="2"/>
    <s v="SMB"/>
    <s v="P007"/>
    <s v="Docking Station"/>
    <x v="2"/>
    <s v="Dock"/>
    <n v="1"/>
    <n v="8900"/>
    <n v="0.1"/>
    <n v="8900"/>
    <n v="890"/>
    <n v="-8010"/>
    <n v="4744.1499999999996"/>
    <n v="-3265.85"/>
    <n v="0.40772159800249685"/>
    <x v="2"/>
    <s v="Amit"/>
    <s v="Bank Transfer"/>
    <s v="Returned"/>
  </r>
  <r>
    <s v="SO10299"/>
    <x v="100"/>
    <s v="C018"/>
    <s v="Kavya Menon"/>
    <s v="Thiruvananthapuram"/>
    <x v="1"/>
    <s v="SMB"/>
    <s v="P003"/>
    <s v="Business Monitor 24"/>
    <x v="1"/>
    <s v="Monitor"/>
    <n v="6"/>
    <n v="14500"/>
    <n v="0"/>
    <n v="87000"/>
    <n v="0"/>
    <n v="87000"/>
    <n v="60013.65"/>
    <n v="26986.35"/>
    <n v="0.31018793103448272"/>
    <x v="0"/>
    <s v="Neeraj"/>
    <s v="Bank Transfer"/>
    <s v="Completed"/>
  </r>
  <r>
    <s v="SO10035"/>
    <x v="101"/>
    <s v="C003"/>
    <s v="Rahul Kumar"/>
    <s v="Bengaluru"/>
    <x v="1"/>
    <s v="Enterprise"/>
    <s v="P004"/>
    <s v="Wireless Keyboard"/>
    <x v="2"/>
    <s v="Keyboard"/>
    <n v="5"/>
    <n v="3200"/>
    <n v="0"/>
    <n v="16000"/>
    <n v="0"/>
    <n v="-16000"/>
    <n v="10962.63"/>
    <n v="-5037.37"/>
    <n v="0.31483562500000001"/>
    <x v="0"/>
    <s v="Amit"/>
    <s v="Credit Card"/>
    <s v="Returned"/>
  </r>
  <r>
    <s v="SO10205"/>
    <x v="101"/>
    <s v="C013"/>
    <s v="Aditya Jain"/>
    <s v="Noida"/>
    <x v="0"/>
    <s v="Enterprise"/>
    <s v="P003"/>
    <s v="Business Monitor 24"/>
    <x v="1"/>
    <s v="Monitor"/>
    <n v="2"/>
    <n v="14500"/>
    <n v="0.05"/>
    <n v="29000"/>
    <n v="1450"/>
    <n v="27550"/>
    <n v="17577.37"/>
    <n v="9972.6299999999992"/>
    <n v="0.36198294010889287"/>
    <x v="1"/>
    <s v="Neeraj"/>
    <s v="UPI"/>
    <s v="Completed"/>
  </r>
  <r>
    <s v="SO10255"/>
    <x v="102"/>
    <s v="C002"/>
    <s v="Priya Singh"/>
    <s v="Mumbai"/>
    <x v="3"/>
    <s v="SMB"/>
    <s v="P005"/>
    <s v="Wireless Mouse"/>
    <x v="2"/>
    <s v="Mouse"/>
    <n v="1"/>
    <n v="1800"/>
    <n v="0"/>
    <n v="1800"/>
    <n v="0"/>
    <n v="-1800"/>
    <n v="1125.29"/>
    <n v="-674.71"/>
    <n v="0.37483888888888889"/>
    <x v="0"/>
    <s v="Sanjay"/>
    <s v="UPI"/>
    <s v="Returned"/>
  </r>
  <r>
    <s v="SO10008"/>
    <x v="103"/>
    <s v="C008"/>
    <s v="Neha Verma"/>
    <s v="Jaipur"/>
    <x v="0"/>
    <s v="SMB"/>
    <s v="P002"/>
    <s v="Laptop Air 13"/>
    <x v="1"/>
    <s v="Standard Laptop"/>
    <n v="5"/>
    <n v="62000"/>
    <n v="0.1"/>
    <n v="310000"/>
    <n v="31000"/>
    <n v="279000"/>
    <n v="204385.43"/>
    <n v="74614.570000000007"/>
    <n v="0.26743573476702509"/>
    <x v="2"/>
    <s v="Amit"/>
    <s v="Bank Transfer"/>
    <s v="Completed"/>
  </r>
  <r>
    <s v="SO10148"/>
    <x v="103"/>
    <s v="C006"/>
    <s v="Ananya Das"/>
    <s v="Kolkata"/>
    <x v="2"/>
    <s v="SMB"/>
    <s v="P003"/>
    <s v="Business Monitor 24"/>
    <x v="1"/>
    <s v="Monitor"/>
    <n v="4"/>
    <n v="14500"/>
    <n v="0.15"/>
    <n v="58000"/>
    <n v="8700"/>
    <n v="0"/>
    <n v="35204.82"/>
    <n v="0"/>
    <n v="0"/>
    <x v="1"/>
    <s v="Ravi"/>
    <s v="Net Banking"/>
    <s v="Cancelled"/>
  </r>
  <r>
    <s v="SO10269"/>
    <x v="103"/>
    <s v="C003"/>
    <s v="Rahul Kumar"/>
    <s v="Bengaluru"/>
    <x v="1"/>
    <s v="Enterprise"/>
    <s v="P007"/>
    <s v="Docking Station"/>
    <x v="2"/>
    <s v="Dock"/>
    <n v="7"/>
    <n v="8900"/>
    <n v="0.15"/>
    <n v="62300"/>
    <n v="9345"/>
    <n v="0"/>
    <n v="36763.54"/>
    <n v="0"/>
    <n v="0"/>
    <x v="2"/>
    <s v="Sanjay"/>
    <s v="UPI"/>
    <s v="Cancelled"/>
  </r>
  <r>
    <s v="SO10060"/>
    <x v="104"/>
    <s v="C005"/>
    <s v="Vikram Patel"/>
    <s v="Ahmedabad"/>
    <x v="3"/>
    <s v="Mid-Market"/>
    <s v="P004"/>
    <s v="Wireless Keyboard"/>
    <x v="2"/>
    <s v="Keyboard"/>
    <n v="3"/>
    <n v="3200"/>
    <n v="0.2"/>
    <n v="9600"/>
    <n v="1920"/>
    <n v="7680"/>
    <n v="4848.76"/>
    <n v="2831.24"/>
    <n v="0.36865104166666662"/>
    <x v="1"/>
    <s v="Amit"/>
    <s v="Net Banking"/>
    <s v="Completed"/>
  </r>
  <r>
    <s v="SO10123"/>
    <x v="105"/>
    <s v="C018"/>
    <s v="Kavya Menon"/>
    <s v="Thiruvananthapuram"/>
    <x v="1"/>
    <s v="SMB"/>
    <s v="P003"/>
    <s v="Business Monitor 24"/>
    <x v="1"/>
    <s v="Monitor"/>
    <n v="8"/>
    <n v="14500"/>
    <n v="0.05"/>
    <n v="116000"/>
    <n v="5800"/>
    <n v="0"/>
    <n v="81649.02"/>
    <n v="0"/>
    <n v="0"/>
    <x v="0"/>
    <s v="Kavita"/>
    <s v="Net Banking"/>
    <s v="Cancelled"/>
  </r>
  <r>
    <s v="SO10208"/>
    <x v="106"/>
    <s v="C001"/>
    <s v="Aarav Sharma"/>
    <s v="Delhi"/>
    <x v="0"/>
    <s v="Enterprise"/>
    <s v="P002"/>
    <s v="Laptop Air 13"/>
    <x v="1"/>
    <s v="Standard Laptop"/>
    <n v="8"/>
    <n v="62000"/>
    <n v="0"/>
    <n v="496000"/>
    <n v="0"/>
    <n v="496000"/>
    <n v="313290.78999999998"/>
    <n v="182709.21"/>
    <n v="0.36836534274193544"/>
    <x v="2"/>
    <s v="Ravi"/>
    <s v="Bank Transfer"/>
    <s v="Completed"/>
  </r>
  <r>
    <s v="SO10212"/>
    <x v="106"/>
    <s v="C005"/>
    <s v="Vikram Patel"/>
    <s v="Ahmedabad"/>
    <x v="3"/>
    <s v="Mid-Market"/>
    <s v="P002"/>
    <s v="Laptop Air 13"/>
    <x v="1"/>
    <s v="Standard Laptop"/>
    <n v="6"/>
    <n v="62000"/>
    <n v="0.05"/>
    <n v="372000"/>
    <n v="18600"/>
    <n v="353400"/>
    <n v="252285.07"/>
    <n v="101114.93"/>
    <n v="0.28612034521788338"/>
    <x v="2"/>
    <s v="Sneha"/>
    <s v="Net Banking"/>
    <s v="Completed"/>
  </r>
  <r>
    <s v="SO10070"/>
    <x v="107"/>
    <s v="C019"/>
    <s v="Sahil Khan"/>
    <s v="Indore"/>
    <x v="4"/>
    <s v="Mid-Market"/>
    <s v="P007"/>
    <s v="Docking Station"/>
    <x v="2"/>
    <s v="Dock"/>
    <n v="4"/>
    <n v="8900"/>
    <n v="0"/>
    <n v="35600"/>
    <n v="0"/>
    <n v="0"/>
    <n v="25706.880000000001"/>
    <n v="0"/>
    <n v="0"/>
    <x v="2"/>
    <s v="Ravi"/>
    <s v="Bank Transfer"/>
    <s v="Cancelled"/>
  </r>
  <r>
    <s v="SO10182"/>
    <x v="107"/>
    <s v="C010"/>
    <s v="Meera Nair"/>
    <s v="Kochi"/>
    <x v="1"/>
    <s v="SMB"/>
    <s v="P009"/>
    <s v="Standing Desk"/>
    <x v="0"/>
    <s v="Desk"/>
    <n v="8"/>
    <n v="22000"/>
    <n v="0.05"/>
    <n v="176000"/>
    <n v="8800"/>
    <n v="0"/>
    <n v="98445.52"/>
    <n v="0"/>
    <n v="0"/>
    <x v="2"/>
    <s v="Amit"/>
    <s v="Bank Transfer"/>
    <s v="Cancelled"/>
  </r>
  <r>
    <s v="SO10196"/>
    <x v="107"/>
    <s v="C003"/>
    <s v="Rahul Kumar"/>
    <s v="Bengaluru"/>
    <x v="1"/>
    <s v="Enterprise"/>
    <s v="P005"/>
    <s v="Wireless Mouse"/>
    <x v="2"/>
    <s v="Mouse"/>
    <n v="8"/>
    <n v="1800"/>
    <n v="0.15"/>
    <n v="14400"/>
    <n v="2160"/>
    <n v="12240"/>
    <n v="8305.9500000000007"/>
    <n v="3934.05"/>
    <n v="0.3214093137254902"/>
    <x v="0"/>
    <s v="Ravi"/>
    <s v="UPI"/>
    <s v="Completed"/>
  </r>
  <r>
    <s v="SO10160"/>
    <x v="108"/>
    <s v="C010"/>
    <s v="Meera Nair"/>
    <s v="Kochi"/>
    <x v="1"/>
    <s v="SMB"/>
    <s v="P007"/>
    <s v="Docking Station"/>
    <x v="2"/>
    <s v="Dock"/>
    <n v="6"/>
    <n v="8900"/>
    <n v="0.2"/>
    <n v="53400"/>
    <n v="10680"/>
    <n v="0"/>
    <n v="30907.599999999999"/>
    <n v="0"/>
    <n v="0"/>
    <x v="0"/>
    <s v="Amit"/>
    <s v="Credit Card"/>
    <s v="Cancelled"/>
  </r>
  <r>
    <s v="SO10226"/>
    <x v="109"/>
    <s v="C002"/>
    <s v="Priya Singh"/>
    <s v="Mumbai"/>
    <x v="3"/>
    <s v="SMB"/>
    <s v="P002"/>
    <s v="Laptop Air 13"/>
    <x v="1"/>
    <s v="Standard Laptop"/>
    <n v="6"/>
    <n v="62000"/>
    <n v="0.2"/>
    <n v="372000"/>
    <n v="74400"/>
    <n v="0"/>
    <n v="206348.98"/>
    <n v="0"/>
    <n v="0"/>
    <x v="2"/>
    <s v="Ravi"/>
    <s v="UPI"/>
    <s v="Cancelled"/>
  </r>
  <r>
    <s v="SO10124"/>
    <x v="110"/>
    <s v="C019"/>
    <s v="Sahil Khan"/>
    <s v="Indore"/>
    <x v="4"/>
    <s v="Mid-Market"/>
    <s v="P003"/>
    <s v="Business Monitor 24"/>
    <x v="1"/>
    <s v="Monitor"/>
    <n v="2"/>
    <n v="14500"/>
    <n v="0.1"/>
    <n v="29000"/>
    <n v="2900"/>
    <n v="26100"/>
    <n v="18994.45"/>
    <n v="7105.55"/>
    <n v="0.27224329501915712"/>
    <x v="2"/>
    <s v="Sanjay"/>
    <s v="Bank Transfer"/>
    <s v="Completed"/>
  </r>
  <r>
    <s v="SO10145"/>
    <x v="110"/>
    <s v="C020"/>
    <s v="Tanya Kapoor"/>
    <s v="Nagpur"/>
    <x v="4"/>
    <s v="SMB"/>
    <s v="P008"/>
    <s v="Office Chair"/>
    <x v="0"/>
    <s v="Chair"/>
    <n v="5"/>
    <n v="12500"/>
    <n v="0"/>
    <n v="62500"/>
    <n v="0"/>
    <n v="62500"/>
    <n v="47574.15"/>
    <n v="14925.85"/>
    <n v="0.23881360000000001"/>
    <x v="1"/>
    <s v="Neeraj"/>
    <s v="Credit Card"/>
    <s v="Completed"/>
  </r>
  <r>
    <s v="SO10169"/>
    <x v="111"/>
    <s v="C017"/>
    <s v="Nikhil Bansal"/>
    <s v="Chandigarh"/>
    <x v="0"/>
    <s v="Enterprise"/>
    <s v="P009"/>
    <s v="Standing Desk"/>
    <x v="0"/>
    <s v="Desk"/>
    <n v="3"/>
    <n v="22000"/>
    <n v="0"/>
    <n v="66000"/>
    <n v="0"/>
    <n v="66000"/>
    <n v="50971.95"/>
    <n v="15028.05"/>
    <n v="0.22769772727272727"/>
    <x v="1"/>
    <s v="Ravi"/>
    <s v="Net Banking"/>
    <s v="Completed"/>
  </r>
  <r>
    <s v="SO10066"/>
    <x v="112"/>
    <s v="C013"/>
    <s v="Aditya Jain"/>
    <s v="Noida"/>
    <x v="0"/>
    <s v="Enterprise"/>
    <s v="P005"/>
    <s v="Wireless Mouse"/>
    <x v="2"/>
    <s v="Mouse"/>
    <n v="5"/>
    <n v="1800"/>
    <n v="0"/>
    <n v="9000"/>
    <n v="0"/>
    <n v="0"/>
    <n v="6235.86"/>
    <n v="0"/>
    <n v="0"/>
    <x v="0"/>
    <s v="Ravi"/>
    <s v="Bank Transfer"/>
    <s v="Cancelled"/>
  </r>
  <r>
    <s v="SO10024"/>
    <x v="113"/>
    <s v="C014"/>
    <s v="Pooja Shah"/>
    <s v="Surat"/>
    <x v="3"/>
    <s v="SMB"/>
    <s v="P006"/>
    <s v="Office Headset"/>
    <x v="2"/>
    <s v="Headset"/>
    <n v="7"/>
    <n v="4200"/>
    <n v="0.1"/>
    <n v="29400"/>
    <n v="2940"/>
    <n v="26460"/>
    <n v="20832.509999999998"/>
    <n v="5627.49"/>
    <n v="0.21267913832199545"/>
    <x v="0"/>
    <s v="Sanjay"/>
    <s v="Credit Card"/>
    <s v="Completed"/>
  </r>
  <r>
    <s v="SO10245"/>
    <x v="114"/>
    <s v="C015"/>
    <s v="Manish Yadav"/>
    <s v="Gurugram"/>
    <x v="0"/>
    <s v="Mid-Market"/>
    <s v="P009"/>
    <s v="Standing Desk"/>
    <x v="0"/>
    <s v="Desk"/>
    <n v="7"/>
    <n v="22000"/>
    <n v="0"/>
    <n v="154000"/>
    <n v="0"/>
    <n v="154000"/>
    <n v="98468.04"/>
    <n v="55531.96"/>
    <n v="0.36059714285714284"/>
    <x v="2"/>
    <s v="Amit"/>
    <s v="UPI"/>
    <s v="Completed"/>
  </r>
  <r>
    <s v="SO10135"/>
    <x v="115"/>
    <s v="C018"/>
    <s v="Kavya Menon"/>
    <s v="Thiruvananthapuram"/>
    <x v="1"/>
    <s v="SMB"/>
    <s v="P004"/>
    <s v="Wireless Keyboard"/>
    <x v="2"/>
    <s v="Keyboard"/>
    <n v="8"/>
    <n v="3200"/>
    <n v="0"/>
    <n v="25600"/>
    <n v="0"/>
    <n v="25600"/>
    <n v="17390.47"/>
    <n v="8209.5300000000007"/>
    <n v="0.32068476562500003"/>
    <x v="1"/>
    <s v="Neeraj"/>
    <s v="Credit Card"/>
    <s v="Completed"/>
  </r>
  <r>
    <s v="SO10137"/>
    <x v="116"/>
    <s v="C003"/>
    <s v="Rahul Kumar"/>
    <s v="Bengaluru"/>
    <x v="1"/>
    <s v="Enterprise"/>
    <s v="P002"/>
    <s v="Laptop Air 13"/>
    <x v="1"/>
    <s v="Standard Laptop"/>
    <n v="2"/>
    <n v="62000"/>
    <n v="0.2"/>
    <n v="124000"/>
    <n v="24800"/>
    <n v="99200"/>
    <n v="75125.259999999995"/>
    <n v="24074.74"/>
    <n v="0.24268891129032261"/>
    <x v="0"/>
    <s v="Ravi"/>
    <s v="Bank Transfer"/>
    <s v="Completed"/>
  </r>
  <r>
    <s v="SO10270"/>
    <x v="117"/>
    <s v="C003"/>
    <s v="Rahul Kumar"/>
    <s v="Bengaluru"/>
    <x v="1"/>
    <s v="Enterprise"/>
    <s v="P008"/>
    <s v="Office Chair"/>
    <x v="0"/>
    <s v="Chair"/>
    <n v="6"/>
    <n v="12500"/>
    <n v="0.15"/>
    <n v="75000"/>
    <n v="11250"/>
    <n v="63750"/>
    <n v="51928.14"/>
    <n v="11821.86"/>
    <n v="0.18544094117647059"/>
    <x v="0"/>
    <s v="Ravi"/>
    <s v="UPI"/>
    <s v="Completed"/>
  </r>
  <r>
    <s v="SO10155"/>
    <x v="118"/>
    <s v="C011"/>
    <s v="Rohan Gupta"/>
    <s v="Lucknow"/>
    <x v="0"/>
    <s v="Mid-Market"/>
    <s v="P003"/>
    <s v="Business Monitor 24"/>
    <x v="1"/>
    <s v="Monitor"/>
    <n v="2"/>
    <n v="14500"/>
    <n v="0.1"/>
    <n v="29000"/>
    <n v="2900"/>
    <n v="26100"/>
    <n v="17907.990000000002"/>
    <n v="8192.01"/>
    <n v="0.31387011494252876"/>
    <x v="1"/>
    <s v="Kavita"/>
    <s v="Credit Card"/>
    <s v="Completed"/>
  </r>
  <r>
    <s v="SO10052"/>
    <x v="119"/>
    <s v="C015"/>
    <s v="Manish Yadav"/>
    <s v="Gurugram"/>
    <x v="0"/>
    <s v="Mid-Market"/>
    <s v="P008"/>
    <s v="Office Chair"/>
    <x v="0"/>
    <s v="Chair"/>
    <n v="4"/>
    <n v="12500"/>
    <n v="0.15"/>
    <n v="50000"/>
    <n v="7500"/>
    <n v="0"/>
    <n v="29476.5"/>
    <n v="0"/>
    <n v="0"/>
    <x v="2"/>
    <s v="Sanjay"/>
    <s v="Credit Card"/>
    <s v="Cancelled"/>
  </r>
  <r>
    <s v="SO10224"/>
    <x v="119"/>
    <s v="C003"/>
    <s v="Rahul Kumar"/>
    <s v="Bengaluru"/>
    <x v="1"/>
    <s v="Enterprise"/>
    <s v="P006"/>
    <s v="Office Headset"/>
    <x v="2"/>
    <s v="Headset"/>
    <n v="5"/>
    <n v="4200"/>
    <n v="0.2"/>
    <n v="21000"/>
    <n v="4200"/>
    <n v="16800"/>
    <n v="11675.65"/>
    <n v="5124.3500000000004"/>
    <n v="0.30502083333333335"/>
    <x v="0"/>
    <s v="Amit"/>
    <s v="Bank Transfer"/>
    <s v="Completed"/>
  </r>
  <r>
    <s v="SO10125"/>
    <x v="120"/>
    <s v="C007"/>
    <s v="Karan Mehta"/>
    <s v="Pune"/>
    <x v="3"/>
    <s v="Mid-Market"/>
    <s v="P008"/>
    <s v="Office Chair"/>
    <x v="0"/>
    <s v="Chair"/>
    <n v="4"/>
    <n v="12500"/>
    <n v="0.05"/>
    <n v="50000"/>
    <n v="2500"/>
    <n v="0"/>
    <n v="28682.639999999999"/>
    <n v="0"/>
    <n v="0"/>
    <x v="1"/>
    <s v="Kavita"/>
    <s v="Bank Transfer"/>
    <s v="Cancelled"/>
  </r>
  <r>
    <s v="SO10131"/>
    <x v="121"/>
    <s v="C003"/>
    <s v="Rahul Kumar"/>
    <s v="Bengaluru"/>
    <x v="1"/>
    <s v="Enterprise"/>
    <s v="P008"/>
    <s v="Office Chair"/>
    <x v="0"/>
    <s v="Chair"/>
    <n v="6"/>
    <n v="12500"/>
    <n v="0.15"/>
    <n v="75000"/>
    <n v="11250"/>
    <n v="63750"/>
    <n v="46058.09"/>
    <n v="17691.91"/>
    <n v="0.27752015686274512"/>
    <x v="0"/>
    <s v="Sneha"/>
    <s v="Credit Card"/>
    <s v="Completed"/>
  </r>
  <r>
    <s v="SO10243"/>
    <x v="121"/>
    <s v="C012"/>
    <s v="Ishita Roy"/>
    <s v="Bhubaneswar"/>
    <x v="2"/>
    <s v="SMB"/>
    <s v="P007"/>
    <s v="Docking Station"/>
    <x v="2"/>
    <s v="Dock"/>
    <n v="7"/>
    <n v="8900"/>
    <n v="0.1"/>
    <n v="62300"/>
    <n v="6230"/>
    <n v="0"/>
    <n v="33600.51"/>
    <n v="0"/>
    <n v="0"/>
    <x v="0"/>
    <s v="Sneha"/>
    <s v="Bank Transfer"/>
    <s v="Cancelled"/>
  </r>
  <r>
    <s v="SO10279"/>
    <x v="121"/>
    <s v="C006"/>
    <s v="Ananya Das"/>
    <s v="Kolkata"/>
    <x v="2"/>
    <s v="SMB"/>
    <s v="P007"/>
    <s v="Docking Station"/>
    <x v="2"/>
    <s v="Dock"/>
    <n v="7"/>
    <n v="8900"/>
    <n v="0"/>
    <n v="62300"/>
    <n v="0"/>
    <n v="62300"/>
    <n v="36526.67"/>
    <n v="25773.33"/>
    <n v="0.41369711075441418"/>
    <x v="0"/>
    <s v="Ravi"/>
    <s v="Bank Transfer"/>
    <s v="Completed"/>
  </r>
  <r>
    <s v="SO10058"/>
    <x v="122"/>
    <s v="C006"/>
    <s v="Ananya Das"/>
    <s v="Kolkata"/>
    <x v="2"/>
    <s v="SMB"/>
    <s v="P008"/>
    <s v="Office Chair"/>
    <x v="0"/>
    <s v="Chair"/>
    <n v="5"/>
    <n v="12500"/>
    <n v="0"/>
    <n v="62500"/>
    <n v="0"/>
    <n v="62500"/>
    <n v="48847.94"/>
    <n v="13652.06"/>
    <n v="0.21843295999999998"/>
    <x v="0"/>
    <s v="Neeraj"/>
    <s v="UPI"/>
    <s v="Completed"/>
  </r>
  <r>
    <s v="SO10197"/>
    <x v="122"/>
    <s v="C011"/>
    <s v="Rohan Gupta"/>
    <s v="Lucknow"/>
    <x v="0"/>
    <s v="Mid-Market"/>
    <s v="P002"/>
    <s v="Laptop Air 13"/>
    <x v="1"/>
    <s v="Standard Laptop"/>
    <n v="8"/>
    <n v="62000"/>
    <n v="0.2"/>
    <n v="496000"/>
    <n v="99200"/>
    <n v="396800"/>
    <n v="279413.23"/>
    <n v="117386.77"/>
    <n v="0.29583359375000001"/>
    <x v="0"/>
    <s v="Sanjay"/>
    <s v="UPI"/>
    <s v="Completed"/>
  </r>
  <r>
    <s v="SO10143"/>
    <x v="123"/>
    <s v="C013"/>
    <s v="Aditya Jain"/>
    <s v="Noida"/>
    <x v="0"/>
    <s v="Enterprise"/>
    <s v="P007"/>
    <s v="Docking Station"/>
    <x v="2"/>
    <s v="Dock"/>
    <n v="6"/>
    <n v="8900"/>
    <n v="0"/>
    <n v="53400"/>
    <n v="0"/>
    <n v="0"/>
    <n v="35714.6"/>
    <n v="0"/>
    <n v="0"/>
    <x v="1"/>
    <s v="Kavita"/>
    <s v="Credit Card"/>
    <s v="Cancelled"/>
  </r>
  <r>
    <s v="SO10240"/>
    <x v="124"/>
    <s v="C017"/>
    <s v="Nikhil Bansal"/>
    <s v="Chandigarh"/>
    <x v="0"/>
    <s v="Enterprise"/>
    <s v="P007"/>
    <s v="Docking Station"/>
    <x v="2"/>
    <s v="Dock"/>
    <n v="1"/>
    <n v="8900"/>
    <n v="0.15"/>
    <n v="8900"/>
    <n v="1335"/>
    <n v="7565"/>
    <n v="5227.1899999999996"/>
    <n v="2337.81"/>
    <n v="0.30902974223397223"/>
    <x v="0"/>
    <s v="Ravi"/>
    <s v="Net Banking"/>
    <s v="Completed"/>
  </r>
  <r>
    <s v="SO10034"/>
    <x v="125"/>
    <s v="C003"/>
    <s v="Rahul Kumar"/>
    <s v="Bengaluru"/>
    <x v="1"/>
    <s v="Enterprise"/>
    <s v="P001"/>
    <s v="Laptop Pro 14"/>
    <x v="1"/>
    <s v="Premium Laptop"/>
    <n v="2"/>
    <n v="78000"/>
    <n v="0"/>
    <n v="156000"/>
    <n v="0"/>
    <n v="-156000"/>
    <n v="110609.03"/>
    <n v="-45390.97"/>
    <n v="0.29096775641025641"/>
    <x v="1"/>
    <s v="Sneha"/>
    <s v="Bank Transfer"/>
    <s v="Returned"/>
  </r>
  <r>
    <s v="SO10132"/>
    <x v="125"/>
    <s v="C017"/>
    <s v="Nikhil Bansal"/>
    <s v="Chandigarh"/>
    <x v="0"/>
    <s v="Enterprise"/>
    <s v="P005"/>
    <s v="Wireless Mouse"/>
    <x v="2"/>
    <s v="Mouse"/>
    <n v="1"/>
    <n v="1800"/>
    <n v="0"/>
    <n v="1800"/>
    <n v="0"/>
    <n v="1800"/>
    <n v="1475.39"/>
    <n v="324.61"/>
    <n v="0.18033888888888891"/>
    <x v="1"/>
    <s v="Sanjay"/>
    <s v="Credit Card"/>
    <s v="Completed"/>
  </r>
  <r>
    <s v="SO10111"/>
    <x v="126"/>
    <s v="C015"/>
    <s v="Manish Yadav"/>
    <s v="Gurugram"/>
    <x v="0"/>
    <s v="Mid-Market"/>
    <s v="P005"/>
    <s v="Wireless Mouse"/>
    <x v="2"/>
    <s v="Mouse"/>
    <n v="5"/>
    <n v="1800"/>
    <n v="0.2"/>
    <n v="9000"/>
    <n v="1800"/>
    <n v="7200"/>
    <n v="4192.24"/>
    <n v="3007.76"/>
    <n v="0.41774444444444447"/>
    <x v="1"/>
    <s v="Sanjay"/>
    <s v="UPI"/>
    <s v="Completed"/>
  </r>
  <r>
    <s v="SO10026"/>
    <x v="127"/>
    <s v="C006"/>
    <s v="Ananya Das"/>
    <s v="Kolkata"/>
    <x v="2"/>
    <s v="SMB"/>
    <s v="P005"/>
    <s v="Wireless Mouse"/>
    <x v="2"/>
    <s v="Mouse"/>
    <n v="4"/>
    <n v="1800"/>
    <n v="0"/>
    <n v="7200"/>
    <n v="0"/>
    <n v="-7200"/>
    <n v="4941.7299999999996"/>
    <n v="-2258.27"/>
    <n v="0.31364861111111109"/>
    <x v="2"/>
    <s v="Ravi"/>
    <s v="Credit Card"/>
    <s v="Returned"/>
  </r>
  <r>
    <s v="SO10287"/>
    <x v="127"/>
    <s v="C018"/>
    <s v="Kavya Menon"/>
    <s v="Thiruvananthapuram"/>
    <x v="1"/>
    <s v="SMB"/>
    <s v="P001"/>
    <s v="Laptop Pro 14"/>
    <x v="1"/>
    <s v="Premium Laptop"/>
    <n v="4"/>
    <n v="78000"/>
    <n v="0.1"/>
    <n v="312000"/>
    <n v="31200"/>
    <n v="0"/>
    <n v="216621.62"/>
    <n v="0"/>
    <n v="0"/>
    <x v="2"/>
    <s v="Neeraj"/>
    <s v="Net Banking"/>
    <s v="Cancelled"/>
  </r>
  <r>
    <s v="SO10057"/>
    <x v="128"/>
    <s v="C015"/>
    <s v="Manish Yadav"/>
    <s v="Gurugram"/>
    <x v="0"/>
    <s v="Mid-Market"/>
    <s v="P003"/>
    <s v="Business Monitor 24"/>
    <x v="1"/>
    <s v="Monitor"/>
    <n v="6"/>
    <n v="14500"/>
    <n v="0.1"/>
    <n v="87000"/>
    <n v="8700"/>
    <n v="0"/>
    <n v="56926.96"/>
    <n v="0"/>
    <n v="0"/>
    <x v="0"/>
    <s v="Neeraj"/>
    <s v="Net Banking"/>
    <s v="Cancelled"/>
  </r>
  <r>
    <s v="SO10204"/>
    <x v="128"/>
    <s v="C014"/>
    <s v="Pooja Shah"/>
    <s v="Surat"/>
    <x v="3"/>
    <s v="SMB"/>
    <s v="P008"/>
    <s v="Office Chair"/>
    <x v="0"/>
    <s v="Chair"/>
    <n v="4"/>
    <n v="12500"/>
    <n v="0.05"/>
    <n v="50000"/>
    <n v="2500"/>
    <n v="47500"/>
    <n v="34465.93"/>
    <n v="13034.07"/>
    <n v="0.27440147368421053"/>
    <x v="0"/>
    <s v="Amit"/>
    <s v="Bank Transfer"/>
    <s v="Completed"/>
  </r>
  <r>
    <s v="SO10230"/>
    <x v="129"/>
    <s v="C005"/>
    <s v="Vikram Patel"/>
    <s v="Ahmedabad"/>
    <x v="3"/>
    <s v="Mid-Market"/>
    <s v="P009"/>
    <s v="Standing Desk"/>
    <x v="0"/>
    <s v="Desk"/>
    <n v="5"/>
    <n v="22000"/>
    <n v="0"/>
    <n v="110000"/>
    <n v="0"/>
    <n v="110000"/>
    <n v="85152.69"/>
    <n v="24847.31"/>
    <n v="0.22588463636363637"/>
    <x v="2"/>
    <s v="Sanjay"/>
    <s v="Net Banking"/>
    <s v="Completed"/>
  </r>
  <r>
    <s v="SO10083"/>
    <x v="130"/>
    <s v="C019"/>
    <s v="Sahil Khan"/>
    <s v="Indore"/>
    <x v="4"/>
    <s v="Mid-Market"/>
    <s v="P005"/>
    <s v="Wireless Mouse"/>
    <x v="2"/>
    <s v="Mouse"/>
    <n v="8"/>
    <n v="1800"/>
    <n v="0.1"/>
    <n v="14400"/>
    <n v="1440"/>
    <n v="12960"/>
    <n v="8576.5300000000007"/>
    <n v="4383.47"/>
    <n v="0.33823070987654325"/>
    <x v="1"/>
    <s v="Neeraj"/>
    <s v="Credit Card"/>
    <s v="Completed"/>
  </r>
  <r>
    <s v="SO10094"/>
    <x v="130"/>
    <s v="C016"/>
    <s v="Divya Iyer"/>
    <s v="Coimbatore"/>
    <x v="1"/>
    <s v="SMB"/>
    <s v="P002"/>
    <s v="Laptop Air 13"/>
    <x v="1"/>
    <s v="Standard Laptop"/>
    <n v="6"/>
    <n v="62000"/>
    <n v="0.1"/>
    <n v="372000"/>
    <n v="37200"/>
    <n v="0"/>
    <n v="220966"/>
    <n v="0"/>
    <n v="0"/>
    <x v="2"/>
    <s v="Sneha"/>
    <s v="Bank Transfer"/>
    <s v="Cancelled"/>
  </r>
  <r>
    <s v="SO10068"/>
    <x v="131"/>
    <s v="C008"/>
    <s v="Neha Verma"/>
    <s v="Jaipur"/>
    <x v="0"/>
    <s v="SMB"/>
    <s v="P003"/>
    <s v="Business Monitor 24"/>
    <x v="1"/>
    <s v="Monitor"/>
    <n v="2"/>
    <n v="14500"/>
    <n v="0.15"/>
    <n v="29000"/>
    <n v="4350"/>
    <n v="24650"/>
    <n v="19903.93"/>
    <n v="4746.07"/>
    <n v="0.19253833671399592"/>
    <x v="0"/>
    <s v="Amit"/>
    <s v="Bank Transfer"/>
    <s v="Completed"/>
  </r>
  <r>
    <s v="SO10158"/>
    <x v="132"/>
    <s v="C011"/>
    <s v="Rohan Gupta"/>
    <s v="Lucknow"/>
    <x v="0"/>
    <s v="Mid-Market"/>
    <s v="P010"/>
    <s v="Conference Camera"/>
    <x v="1"/>
    <s v="Camera"/>
    <n v="3"/>
    <n v="16500"/>
    <n v="0"/>
    <n v="49500"/>
    <n v="0"/>
    <n v="49500"/>
    <n v="34062.21"/>
    <n v="15437.79"/>
    <n v="0.31187454545454546"/>
    <x v="0"/>
    <s v="Ravi"/>
    <s v="UPI"/>
    <s v="Completed"/>
  </r>
  <r>
    <s v="SO10271"/>
    <x v="132"/>
    <s v="C007"/>
    <s v="Karan Mehta"/>
    <s v="Pune"/>
    <x v="3"/>
    <s v="Mid-Market"/>
    <s v="P010"/>
    <s v="Conference Camera"/>
    <x v="1"/>
    <s v="Camera"/>
    <n v="5"/>
    <n v="16500"/>
    <n v="0"/>
    <n v="82500"/>
    <n v="0"/>
    <n v="0"/>
    <n v="66148.350000000006"/>
    <n v="0"/>
    <n v="0"/>
    <x v="1"/>
    <s v="Kavita"/>
    <s v="Credit Card"/>
    <s v="Cancelled"/>
  </r>
  <r>
    <s v="SO10227"/>
    <x v="133"/>
    <s v="C014"/>
    <s v="Pooja Shah"/>
    <s v="Surat"/>
    <x v="3"/>
    <s v="SMB"/>
    <s v="P008"/>
    <s v="Office Chair"/>
    <x v="0"/>
    <s v="Chair"/>
    <n v="4"/>
    <n v="12500"/>
    <n v="0.05"/>
    <n v="50000"/>
    <n v="2500"/>
    <n v="0"/>
    <n v="31211.31"/>
    <n v="0"/>
    <n v="0"/>
    <x v="2"/>
    <s v="Ravi"/>
    <s v="UPI"/>
    <s v="Cancelled"/>
  </r>
  <r>
    <s v="SO10236"/>
    <x v="133"/>
    <s v="C008"/>
    <s v="Neha Verma"/>
    <s v="Jaipur"/>
    <x v="0"/>
    <s v="SMB"/>
    <s v="P003"/>
    <s v="Business Monitor 24"/>
    <x v="1"/>
    <s v="Monitor"/>
    <n v="3"/>
    <n v="14500"/>
    <n v="0.1"/>
    <n v="43500"/>
    <n v="4350"/>
    <n v="-39150"/>
    <n v="29732.720000000001"/>
    <n v="-9417.2800000000007"/>
    <n v="0.24054355044699874"/>
    <x v="1"/>
    <s v="Neeraj"/>
    <s v="Net Banking"/>
    <s v="Returned"/>
  </r>
  <r>
    <s v="SO10118"/>
    <x v="134"/>
    <s v="C006"/>
    <s v="Ananya Das"/>
    <s v="Kolkata"/>
    <x v="2"/>
    <s v="SMB"/>
    <s v="P005"/>
    <s v="Wireless Mouse"/>
    <x v="2"/>
    <s v="Mouse"/>
    <n v="5"/>
    <n v="1800"/>
    <n v="0.2"/>
    <n v="9000"/>
    <n v="1800"/>
    <n v="7200"/>
    <n v="5680.05"/>
    <n v="1519.95"/>
    <n v="0.21110416666666668"/>
    <x v="1"/>
    <s v="Ravi"/>
    <s v="UPI"/>
    <s v="Completed"/>
  </r>
  <r>
    <s v="SO10113"/>
    <x v="135"/>
    <s v="C007"/>
    <s v="Karan Mehta"/>
    <s v="Pune"/>
    <x v="3"/>
    <s v="Mid-Market"/>
    <s v="P007"/>
    <s v="Docking Station"/>
    <x v="2"/>
    <s v="Dock"/>
    <n v="2"/>
    <n v="8900"/>
    <n v="0"/>
    <n v="17800"/>
    <n v="0"/>
    <n v="17800"/>
    <n v="11953.19"/>
    <n v="5846.81"/>
    <n v="0.32847247191011236"/>
    <x v="0"/>
    <s v="Amit"/>
    <s v="Bank Transfer"/>
    <s v="Completed"/>
  </r>
  <r>
    <s v="SO10293"/>
    <x v="135"/>
    <s v="C012"/>
    <s v="Ishita Roy"/>
    <s v="Bhubaneswar"/>
    <x v="2"/>
    <s v="SMB"/>
    <s v="P001"/>
    <s v="Laptop Pro 14"/>
    <x v="1"/>
    <s v="Premium Laptop"/>
    <n v="2"/>
    <n v="78000"/>
    <n v="0.05"/>
    <n v="156000"/>
    <n v="7800"/>
    <n v="148200"/>
    <n v="100751.41"/>
    <n v="47448.59"/>
    <n v="0.3201659244264507"/>
    <x v="2"/>
    <s v="Sanjay"/>
    <s v="UPI"/>
    <s v="Completed"/>
  </r>
  <r>
    <s v="SO10146"/>
    <x v="136"/>
    <s v="C010"/>
    <s v="Meera Nair"/>
    <s v="Kochi"/>
    <x v="1"/>
    <s v="SMB"/>
    <s v="P010"/>
    <s v="Conference Camera"/>
    <x v="1"/>
    <s v="Camera"/>
    <n v="5"/>
    <n v="16500"/>
    <n v="0"/>
    <n v="82500"/>
    <n v="0"/>
    <n v="-82500"/>
    <n v="52216.27"/>
    <n v="-30283.73"/>
    <n v="0.36707551515151515"/>
    <x v="2"/>
    <s v="Ravi"/>
    <s v="UPI"/>
    <s v="Returned"/>
  </r>
  <r>
    <s v="SO10072"/>
    <x v="137"/>
    <s v="C001"/>
    <s v="Aarav Sharma"/>
    <s v="Delhi"/>
    <x v="0"/>
    <s v="Enterprise"/>
    <s v="P007"/>
    <s v="Docking Station"/>
    <x v="2"/>
    <s v="Dock"/>
    <n v="2"/>
    <n v="8900"/>
    <n v="0.1"/>
    <n v="17800"/>
    <n v="1780"/>
    <n v="0"/>
    <n v="12985.64"/>
    <n v="0"/>
    <n v="0"/>
    <x v="1"/>
    <s v="Sanjay"/>
    <s v="UPI"/>
    <s v="Cancelled"/>
  </r>
  <r>
    <s v="SO10084"/>
    <x v="138"/>
    <s v="C003"/>
    <s v="Rahul Kumar"/>
    <s v="Bengaluru"/>
    <x v="1"/>
    <s v="Enterprise"/>
    <s v="P007"/>
    <s v="Docking Station"/>
    <x v="2"/>
    <s v="Dock"/>
    <n v="2"/>
    <n v="8900"/>
    <n v="0.15"/>
    <n v="17800"/>
    <n v="2670"/>
    <n v="15130"/>
    <n v="11061.04"/>
    <n v="4068.96"/>
    <n v="0.26893324520819561"/>
    <x v="2"/>
    <s v="Sneha"/>
    <s v="Bank Transfer"/>
    <s v="Completed"/>
  </r>
  <r>
    <s v="SO10075"/>
    <x v="139"/>
    <s v="C011"/>
    <s v="Rohan Gupta"/>
    <s v="Lucknow"/>
    <x v="0"/>
    <s v="Mid-Market"/>
    <s v="P001"/>
    <s v="Laptop Pro 14"/>
    <x v="1"/>
    <s v="Premium Laptop"/>
    <n v="6"/>
    <n v="78000"/>
    <n v="0"/>
    <n v="468000"/>
    <n v="0"/>
    <n v="468000"/>
    <n v="326201.61"/>
    <n v="141798.39000000001"/>
    <n v="0.30298801282051285"/>
    <x v="1"/>
    <s v="Amit"/>
    <s v="Bank Transfer"/>
    <s v="Completed"/>
  </r>
  <r>
    <s v="SO10184"/>
    <x v="140"/>
    <s v="C011"/>
    <s v="Rohan Gupta"/>
    <s v="Lucknow"/>
    <x v="0"/>
    <s v="Mid-Market"/>
    <s v="P003"/>
    <s v="Business Monitor 24"/>
    <x v="1"/>
    <s v="Monitor"/>
    <n v="8"/>
    <n v="14500"/>
    <n v="0.05"/>
    <n v="116000"/>
    <n v="5800"/>
    <n v="-110200"/>
    <n v="88362.16"/>
    <n v="-21837.84"/>
    <n v="0.19816551724137932"/>
    <x v="1"/>
    <s v="Ravi"/>
    <s v="Net Banking"/>
    <s v="Returned"/>
  </r>
  <r>
    <s v="SO10176"/>
    <x v="141"/>
    <s v="C003"/>
    <s v="Rahul Kumar"/>
    <s v="Bengaluru"/>
    <x v="1"/>
    <s v="Enterprise"/>
    <s v="P002"/>
    <s v="Laptop Air 13"/>
    <x v="1"/>
    <s v="Standard Laptop"/>
    <n v="1"/>
    <n v="62000"/>
    <n v="0.2"/>
    <n v="62000"/>
    <n v="12400"/>
    <n v="49600"/>
    <n v="34903.03"/>
    <n v="14696.97"/>
    <n v="0.29630987903225803"/>
    <x v="0"/>
    <s v="Sneha"/>
    <s v="Bank Transfer"/>
    <s v="Completed"/>
  </r>
  <r>
    <s v="SO10219"/>
    <x v="142"/>
    <s v="C007"/>
    <s v="Karan Mehta"/>
    <s v="Pune"/>
    <x v="3"/>
    <s v="Mid-Market"/>
    <s v="P007"/>
    <s v="Docking Station"/>
    <x v="2"/>
    <s v="Dock"/>
    <n v="8"/>
    <n v="8900"/>
    <n v="0.2"/>
    <n v="71200"/>
    <n v="14240"/>
    <n v="0"/>
    <n v="42980.68"/>
    <n v="0"/>
    <n v="0"/>
    <x v="2"/>
    <s v="Kavita"/>
    <s v="UPI"/>
    <s v="Cancelled"/>
  </r>
  <r>
    <s v="SO10198"/>
    <x v="143"/>
    <s v="C005"/>
    <s v="Vikram Patel"/>
    <s v="Ahmedabad"/>
    <x v="3"/>
    <s v="Mid-Market"/>
    <s v="P007"/>
    <s v="Docking Station"/>
    <x v="2"/>
    <s v="Dock"/>
    <n v="1"/>
    <n v="8900"/>
    <n v="0"/>
    <n v="8900"/>
    <n v="0"/>
    <n v="8900"/>
    <n v="6268.67"/>
    <n v="2631.33"/>
    <n v="0.29565505617977528"/>
    <x v="2"/>
    <s v="Sneha"/>
    <s v="Bank Transfer"/>
    <s v="Completed"/>
  </r>
  <r>
    <s v="SO10211"/>
    <x v="144"/>
    <s v="C003"/>
    <s v="Rahul Kumar"/>
    <s v="Bengaluru"/>
    <x v="1"/>
    <s v="Enterprise"/>
    <s v="P007"/>
    <s v="Docking Station"/>
    <x v="2"/>
    <s v="Dock"/>
    <n v="8"/>
    <n v="8900"/>
    <n v="0.15"/>
    <n v="71200"/>
    <n v="10680"/>
    <n v="-60520"/>
    <n v="39164.49"/>
    <n v="-21355.51"/>
    <n v="0.35286698612029077"/>
    <x v="0"/>
    <s v="Kavita"/>
    <s v="Credit Card"/>
    <s v="Returned"/>
  </r>
  <r>
    <s v="SO10238"/>
    <x v="144"/>
    <s v="C002"/>
    <s v="Priya Singh"/>
    <s v="Mumbai"/>
    <x v="3"/>
    <s v="SMB"/>
    <s v="P009"/>
    <s v="Standing Desk"/>
    <x v="0"/>
    <s v="Desk"/>
    <n v="4"/>
    <n v="22000"/>
    <n v="0.15"/>
    <n v="88000"/>
    <n v="13200"/>
    <n v="74800"/>
    <n v="53018.12"/>
    <n v="21781.88"/>
    <n v="0.2912016042780749"/>
    <x v="1"/>
    <s v="Kavita"/>
    <s v="Net Banking"/>
    <s v="Completed"/>
  </r>
  <r>
    <s v="SO10264"/>
    <x v="144"/>
    <s v="C001"/>
    <s v="Aarav Sharma"/>
    <s v="Delhi"/>
    <x v="0"/>
    <s v="Enterprise"/>
    <s v="P004"/>
    <s v="Wireless Keyboard"/>
    <x v="2"/>
    <s v="Keyboard"/>
    <n v="8"/>
    <n v="3200"/>
    <n v="0.05"/>
    <n v="25600"/>
    <n v="1280"/>
    <n v="0"/>
    <n v="14458.44"/>
    <n v="0"/>
    <n v="0"/>
    <x v="0"/>
    <s v="Kavita"/>
    <s v="Net Banking"/>
    <s v="Cancelled"/>
  </r>
  <r>
    <s v="SO10016"/>
    <x v="145"/>
    <s v="C017"/>
    <s v="Nikhil Bansal"/>
    <s v="Chandigarh"/>
    <x v="0"/>
    <s v="Enterprise"/>
    <s v="P003"/>
    <s v="Business Monitor 24"/>
    <x v="1"/>
    <s v="Monitor"/>
    <n v="2"/>
    <n v="14500"/>
    <n v="0.2"/>
    <n v="29000"/>
    <n v="5800"/>
    <n v="0"/>
    <n v="15117.74"/>
    <n v="0"/>
    <n v="0"/>
    <x v="0"/>
    <s v="Kavita"/>
    <s v="UPI"/>
    <s v="Cancelled"/>
  </r>
  <r>
    <s v="SO10049"/>
    <x v="145"/>
    <s v="C004"/>
    <s v="Sneha Reddy"/>
    <s v="Hyderabad"/>
    <x v="1"/>
    <s v="SMB"/>
    <s v="P005"/>
    <s v="Wireless Mouse"/>
    <x v="2"/>
    <s v="Mouse"/>
    <n v="5"/>
    <n v="1800"/>
    <n v="0.2"/>
    <n v="9000"/>
    <n v="1800"/>
    <n v="7200"/>
    <n v="4881.7"/>
    <n v="2318.3000000000002"/>
    <n v="0.32198611111111114"/>
    <x v="0"/>
    <s v="Amit"/>
    <s v="UPI"/>
    <s v="Completed"/>
  </r>
  <r>
    <s v="SO10139"/>
    <x v="145"/>
    <s v="C004"/>
    <s v="Sneha Reddy"/>
    <s v="Hyderabad"/>
    <x v="1"/>
    <s v="SMB"/>
    <s v="P010"/>
    <s v="Conference Camera"/>
    <x v="1"/>
    <s v="Camera"/>
    <n v="4"/>
    <n v="16500"/>
    <n v="0"/>
    <n v="66000"/>
    <n v="0"/>
    <n v="66000"/>
    <n v="48682.7"/>
    <n v="17317.3"/>
    <n v="0.2623833333333333"/>
    <x v="2"/>
    <s v="Amit"/>
    <s v="Bank Transfer"/>
    <s v="Completed"/>
  </r>
  <r>
    <s v="SO10215"/>
    <x v="145"/>
    <s v="C019"/>
    <s v="Sahil Khan"/>
    <s v="Indore"/>
    <x v="4"/>
    <s v="Mid-Market"/>
    <s v="P006"/>
    <s v="Office Headset"/>
    <x v="2"/>
    <s v="Headset"/>
    <n v="8"/>
    <n v="4200"/>
    <n v="0.2"/>
    <n v="33600"/>
    <n v="6720"/>
    <n v="26880"/>
    <n v="19221.939999999999"/>
    <n v="7658.06"/>
    <n v="0.28489806547619051"/>
    <x v="2"/>
    <s v="Amit"/>
    <s v="Bank Transfer"/>
    <s v="Completed"/>
  </r>
  <r>
    <s v="SO10100"/>
    <x v="146"/>
    <s v="C016"/>
    <s v="Divya Iyer"/>
    <s v="Coimbatore"/>
    <x v="1"/>
    <s v="SMB"/>
    <s v="P005"/>
    <s v="Wireless Mouse"/>
    <x v="2"/>
    <s v="Mouse"/>
    <n v="5"/>
    <n v="1800"/>
    <n v="0.1"/>
    <n v="9000"/>
    <n v="900"/>
    <n v="8100"/>
    <n v="6320.7"/>
    <n v="1779.3"/>
    <n v="0.21966666666666665"/>
    <x v="2"/>
    <s v="Neeraj"/>
    <s v="UPI"/>
    <s v="Completed"/>
  </r>
  <r>
    <s v="SO10194"/>
    <x v="146"/>
    <s v="C006"/>
    <s v="Ananya Das"/>
    <s v="Kolkata"/>
    <x v="2"/>
    <s v="SMB"/>
    <s v="P006"/>
    <s v="Office Headset"/>
    <x v="2"/>
    <s v="Headset"/>
    <n v="4"/>
    <n v="4200"/>
    <n v="0"/>
    <n v="16800"/>
    <n v="0"/>
    <n v="16800"/>
    <n v="13716.05"/>
    <n v="3083.95"/>
    <n v="0.18356845238095237"/>
    <x v="2"/>
    <s v="Neeraj"/>
    <s v="Credit Card"/>
    <s v="Completed"/>
  </r>
  <r>
    <s v="SO10047"/>
    <x v="147"/>
    <s v="C014"/>
    <s v="Pooja Shah"/>
    <s v="Surat"/>
    <x v="3"/>
    <s v="SMB"/>
    <s v="P010"/>
    <s v="Conference Camera"/>
    <x v="1"/>
    <s v="Camera"/>
    <n v="2"/>
    <n v="16500"/>
    <n v="0.1"/>
    <n v="33000"/>
    <n v="3300"/>
    <n v="29700"/>
    <n v="23637.67"/>
    <n v="6062.33"/>
    <n v="0.20411885521885523"/>
    <x v="1"/>
    <s v="Ravi"/>
    <s v="Net Banking"/>
    <s v="Completed"/>
  </r>
  <r>
    <s v="SO10292"/>
    <x v="147"/>
    <s v="C009"/>
    <s v="Arjun Rao"/>
    <s v="Chennai"/>
    <x v="1"/>
    <s v="Enterprise"/>
    <s v="P004"/>
    <s v="Wireless Keyboard"/>
    <x v="2"/>
    <s v="Keyboard"/>
    <n v="4"/>
    <n v="3200"/>
    <n v="0.1"/>
    <n v="12800"/>
    <n v="1280"/>
    <n v="11520"/>
    <n v="7715.97"/>
    <n v="3804.03"/>
    <n v="0.33021093750000002"/>
    <x v="0"/>
    <s v="Kavita"/>
    <s v="UPI"/>
    <s v="Completed"/>
  </r>
  <r>
    <s v="SO10096"/>
    <x v="148"/>
    <s v="C004"/>
    <s v="Sneha Reddy"/>
    <s v="Hyderabad"/>
    <x v="1"/>
    <s v="SMB"/>
    <s v="P007"/>
    <s v="Docking Station"/>
    <x v="2"/>
    <s v="Dock"/>
    <n v="1"/>
    <n v="8900"/>
    <n v="0.2"/>
    <n v="8900"/>
    <n v="1780"/>
    <n v="7120"/>
    <n v="5615.18"/>
    <n v="1504.82"/>
    <n v="0.21135112359550562"/>
    <x v="1"/>
    <s v="Ravi"/>
    <s v="UPI"/>
    <s v="Completed"/>
  </r>
  <r>
    <s v="SO10296"/>
    <x v="149"/>
    <s v="C006"/>
    <s v="Ananya Das"/>
    <s v="Kolkata"/>
    <x v="2"/>
    <s v="SMB"/>
    <s v="P004"/>
    <s v="Wireless Keyboard"/>
    <x v="2"/>
    <s v="Keyboard"/>
    <n v="3"/>
    <n v="3200"/>
    <n v="0.15"/>
    <n v="9600"/>
    <n v="1440"/>
    <n v="-8160"/>
    <n v="5046.41"/>
    <n v="-3113.59"/>
    <n v="0.38156740196078431"/>
    <x v="1"/>
    <s v="Neeraj"/>
    <s v="UPI"/>
    <s v="Returned"/>
  </r>
  <r>
    <s v="SO10191"/>
    <x v="150"/>
    <s v="C006"/>
    <s v="Ananya Das"/>
    <s v="Kolkata"/>
    <x v="2"/>
    <s v="SMB"/>
    <s v="P008"/>
    <s v="Office Chair"/>
    <x v="0"/>
    <s v="Chair"/>
    <n v="7"/>
    <n v="12500"/>
    <n v="0.15"/>
    <n v="87500"/>
    <n v="13125"/>
    <n v="74375"/>
    <n v="45239.53"/>
    <n v="29135.47"/>
    <n v="0.39173741176470589"/>
    <x v="0"/>
    <s v="Neeraj"/>
    <s v="UPI"/>
    <s v="Completed"/>
  </r>
  <r>
    <s v="SO10199"/>
    <x v="150"/>
    <s v="C008"/>
    <s v="Neha Verma"/>
    <s v="Jaipur"/>
    <x v="0"/>
    <s v="SMB"/>
    <s v="P006"/>
    <s v="Office Headset"/>
    <x v="2"/>
    <s v="Headset"/>
    <n v="5"/>
    <n v="4200"/>
    <n v="0"/>
    <n v="21000"/>
    <n v="0"/>
    <n v="0"/>
    <n v="13443.05"/>
    <n v="0"/>
    <n v="0"/>
    <x v="0"/>
    <s v="Amit"/>
    <s v="UPI"/>
    <s v="Cancelled"/>
  </r>
  <r>
    <s v="SO10073"/>
    <x v="151"/>
    <s v="C014"/>
    <s v="Pooja Shah"/>
    <s v="Surat"/>
    <x v="3"/>
    <s v="SMB"/>
    <s v="P003"/>
    <s v="Business Monitor 24"/>
    <x v="1"/>
    <s v="Monitor"/>
    <n v="5"/>
    <n v="14500"/>
    <n v="0.15"/>
    <n v="72500"/>
    <n v="10875"/>
    <n v="-61625"/>
    <n v="47695.77"/>
    <n v="-13929.23"/>
    <n v="0.22603212981744422"/>
    <x v="1"/>
    <s v="Neeraj"/>
    <s v="Net Banking"/>
    <s v="Returned"/>
  </r>
  <r>
    <s v="SO10267"/>
    <x v="152"/>
    <s v="C007"/>
    <s v="Karan Mehta"/>
    <s v="Pune"/>
    <x v="3"/>
    <s v="Mid-Market"/>
    <s v="P010"/>
    <s v="Conference Camera"/>
    <x v="1"/>
    <s v="Camera"/>
    <n v="5"/>
    <n v="16500"/>
    <n v="0.05"/>
    <n v="82500"/>
    <n v="4125"/>
    <n v="78375"/>
    <n v="50485.88"/>
    <n v="27889.119999999999"/>
    <n v="0.35584204146730464"/>
    <x v="2"/>
    <s v="Amit"/>
    <s v="Net Banking"/>
    <s v="Completed"/>
  </r>
  <r>
    <s v="SO10134"/>
    <x v="153"/>
    <s v="C013"/>
    <s v="Aditya Jain"/>
    <s v="Noida"/>
    <x v="0"/>
    <s v="Enterprise"/>
    <s v="P010"/>
    <s v="Conference Camera"/>
    <x v="1"/>
    <s v="Camera"/>
    <n v="5"/>
    <n v="16500"/>
    <n v="0.1"/>
    <n v="82500"/>
    <n v="8250"/>
    <n v="74250"/>
    <n v="52073.919999999998"/>
    <n v="22176.080000000002"/>
    <n v="0.2986677441077441"/>
    <x v="2"/>
    <s v="Sanjay"/>
    <s v="Credit Card"/>
    <s v="Completed"/>
  </r>
  <r>
    <s v="SO10190"/>
    <x v="153"/>
    <s v="C019"/>
    <s v="Sahil Khan"/>
    <s v="Indore"/>
    <x v="4"/>
    <s v="Mid-Market"/>
    <s v="P003"/>
    <s v="Business Monitor 24"/>
    <x v="1"/>
    <s v="Monitor"/>
    <n v="6"/>
    <n v="14500"/>
    <n v="0.1"/>
    <n v="87000"/>
    <n v="8700"/>
    <n v="78300"/>
    <n v="51321.93"/>
    <n v="26978.07"/>
    <n v="0.34454750957854408"/>
    <x v="2"/>
    <s v="Ravi"/>
    <s v="Credit Card"/>
    <s v="Completed"/>
  </r>
  <r>
    <s v="SO10200"/>
    <x v="154"/>
    <s v="C010"/>
    <s v="Meera Nair"/>
    <s v="Kochi"/>
    <x v="1"/>
    <s v="SMB"/>
    <s v="P010"/>
    <s v="Conference Camera"/>
    <x v="1"/>
    <s v="Camera"/>
    <n v="2"/>
    <n v="16500"/>
    <n v="0.15"/>
    <n v="33000"/>
    <n v="4950"/>
    <n v="-28050"/>
    <n v="20584.13"/>
    <n v="-7465.87"/>
    <n v="0.26616292335115865"/>
    <x v="0"/>
    <s v="Sneha"/>
    <s v="UPI"/>
    <s v="Returned"/>
  </r>
  <r>
    <s v="SO10048"/>
    <x v="155"/>
    <s v="C001"/>
    <s v="Aarav Sharma"/>
    <s v="Delhi"/>
    <x v="0"/>
    <s v="Enterprise"/>
    <s v="P009"/>
    <s v="Standing Desk"/>
    <x v="0"/>
    <s v="Desk"/>
    <n v="4"/>
    <n v="22000"/>
    <n v="0.05"/>
    <n v="88000"/>
    <n v="4400"/>
    <n v="0"/>
    <n v="57141.55"/>
    <n v="0"/>
    <n v="0"/>
    <x v="1"/>
    <s v="Kavita"/>
    <s v="Bank Transfer"/>
    <s v="Cancelled"/>
  </r>
  <r>
    <s v="SO10244"/>
    <x v="155"/>
    <s v="C004"/>
    <s v="Sneha Reddy"/>
    <s v="Hyderabad"/>
    <x v="1"/>
    <s v="SMB"/>
    <s v="P003"/>
    <s v="Business Monitor 24"/>
    <x v="1"/>
    <s v="Monitor"/>
    <n v="7"/>
    <n v="14500"/>
    <n v="0.15"/>
    <n v="101500"/>
    <n v="15225"/>
    <n v="86275"/>
    <n v="52676.35"/>
    <n v="33598.65"/>
    <n v="0.38943668501883516"/>
    <x v="2"/>
    <s v="Ravi"/>
    <s v="Bank Transfer"/>
    <s v="Completed"/>
  </r>
  <r>
    <s v="SO10107"/>
    <x v="156"/>
    <s v="C011"/>
    <s v="Rohan Gupta"/>
    <s v="Lucknow"/>
    <x v="0"/>
    <s v="Mid-Market"/>
    <s v="P008"/>
    <s v="Office Chair"/>
    <x v="0"/>
    <s v="Chair"/>
    <n v="1"/>
    <n v="12500"/>
    <n v="0.15"/>
    <n v="12500"/>
    <n v="1875"/>
    <n v="0"/>
    <n v="6336.97"/>
    <n v="0"/>
    <n v="0"/>
    <x v="0"/>
    <s v="Amit"/>
    <s v="UPI"/>
    <s v="Cancelled"/>
  </r>
  <r>
    <s v="SO10039"/>
    <x v="157"/>
    <s v="C006"/>
    <s v="Ananya Das"/>
    <s v="Kolkata"/>
    <x v="2"/>
    <s v="SMB"/>
    <s v="P008"/>
    <s v="Office Chair"/>
    <x v="0"/>
    <s v="Chair"/>
    <n v="7"/>
    <n v="12500"/>
    <n v="0.15"/>
    <n v="87500"/>
    <n v="13125"/>
    <n v="74375"/>
    <n v="43310.1"/>
    <n v="31064.9"/>
    <n v="0.41767932773109245"/>
    <x v="0"/>
    <s v="Sneha"/>
    <s v="Credit Card"/>
    <s v="Completed"/>
  </r>
  <r>
    <s v="SO10040"/>
    <x v="157"/>
    <s v="C012"/>
    <s v="Ishita Roy"/>
    <s v="Bhubaneswar"/>
    <x v="2"/>
    <s v="SMB"/>
    <s v="P010"/>
    <s v="Conference Camera"/>
    <x v="1"/>
    <s v="Camera"/>
    <n v="3"/>
    <n v="16500"/>
    <n v="0.1"/>
    <n v="49500"/>
    <n v="4950"/>
    <n v="44550"/>
    <n v="27201.65"/>
    <n v="17348.349999999999"/>
    <n v="0.38941301907968573"/>
    <x v="1"/>
    <s v="Ravi"/>
    <s v="Bank Transfer"/>
    <s v="Completed"/>
  </r>
  <r>
    <s v="SO10260"/>
    <x v="158"/>
    <s v="C001"/>
    <s v="Aarav Sharma"/>
    <s v="Delhi"/>
    <x v="0"/>
    <s v="Enterprise"/>
    <s v="P005"/>
    <s v="Wireless Mouse"/>
    <x v="2"/>
    <s v="Mouse"/>
    <n v="7"/>
    <n v="1800"/>
    <n v="0.05"/>
    <n v="12600"/>
    <n v="630"/>
    <n v="11970"/>
    <n v="7380.45"/>
    <n v="4589.55"/>
    <n v="0.38342105263157894"/>
    <x v="2"/>
    <s v="Neeraj"/>
    <s v="UPI"/>
    <s v="Completed"/>
  </r>
  <r>
    <s v="SO10076"/>
    <x v="159"/>
    <s v="C020"/>
    <s v="Tanya Kapoor"/>
    <s v="Nagpur"/>
    <x v="4"/>
    <s v="SMB"/>
    <s v="P005"/>
    <s v="Wireless Mouse"/>
    <x v="2"/>
    <s v="Mouse"/>
    <n v="1"/>
    <n v="1800"/>
    <n v="0.15"/>
    <n v="1800"/>
    <n v="270"/>
    <n v="1530"/>
    <n v="1235.53"/>
    <n v="294.47000000000003"/>
    <n v="0.19246405228758171"/>
    <x v="2"/>
    <s v="Sanjay"/>
    <s v="Net Banking"/>
    <s v="Completed"/>
  </r>
  <r>
    <s v="SO10119"/>
    <x v="160"/>
    <s v="C008"/>
    <s v="Neha Verma"/>
    <s v="Jaipur"/>
    <x v="0"/>
    <s v="SMB"/>
    <s v="P007"/>
    <s v="Docking Station"/>
    <x v="2"/>
    <s v="Dock"/>
    <n v="6"/>
    <n v="8900"/>
    <n v="0"/>
    <n v="53400"/>
    <n v="0"/>
    <n v="53400"/>
    <n v="41105.379999999997"/>
    <n v="12294.62"/>
    <n v="0.23023632958801499"/>
    <x v="1"/>
    <s v="Kavita"/>
    <s v="Credit Card"/>
    <s v="Completed"/>
  </r>
  <r>
    <s v="SO10161"/>
    <x v="160"/>
    <s v="C011"/>
    <s v="Rohan Gupta"/>
    <s v="Lucknow"/>
    <x v="0"/>
    <s v="Mid-Market"/>
    <s v="P002"/>
    <s v="Laptop Air 13"/>
    <x v="1"/>
    <s v="Standard Laptop"/>
    <n v="7"/>
    <n v="62000"/>
    <n v="0.05"/>
    <n v="434000"/>
    <n v="21700"/>
    <n v="0"/>
    <n v="264069.49"/>
    <n v="0"/>
    <n v="0"/>
    <x v="0"/>
    <s v="Sneha"/>
    <s v="Bank Transfer"/>
    <s v="Cancelled"/>
  </r>
  <r>
    <s v="SO10291"/>
    <x v="161"/>
    <s v="C020"/>
    <s v="Tanya Kapoor"/>
    <s v="Nagpur"/>
    <x v="4"/>
    <s v="SMB"/>
    <s v="P001"/>
    <s v="Laptop Pro 14"/>
    <x v="1"/>
    <s v="Premium Laptop"/>
    <n v="7"/>
    <n v="78000"/>
    <n v="0.05"/>
    <n v="546000"/>
    <n v="27300"/>
    <n v="518700"/>
    <n v="421066.15"/>
    <n v="97633.85"/>
    <n v="0.18822797378060538"/>
    <x v="2"/>
    <s v="Ravi"/>
    <s v="Credit Card"/>
    <s v="Completed"/>
  </r>
  <r>
    <s v="SO10071"/>
    <x v="162"/>
    <s v="C020"/>
    <s v="Tanya Kapoor"/>
    <s v="Nagpur"/>
    <x v="4"/>
    <s v="SMB"/>
    <s v="P002"/>
    <s v="Laptop Air 13"/>
    <x v="1"/>
    <s v="Standard Laptop"/>
    <n v="1"/>
    <n v="62000"/>
    <n v="0.05"/>
    <n v="62000"/>
    <n v="3100"/>
    <n v="0"/>
    <n v="41692.89"/>
    <n v="0"/>
    <n v="0"/>
    <x v="1"/>
    <s v="Ravi"/>
    <s v="Bank Transfer"/>
    <s v="Cancelled"/>
  </r>
  <r>
    <s v="SO10142"/>
    <x v="162"/>
    <s v="C006"/>
    <s v="Ananya Das"/>
    <s v="Kolkata"/>
    <x v="2"/>
    <s v="SMB"/>
    <s v="P003"/>
    <s v="Business Monitor 24"/>
    <x v="1"/>
    <s v="Monitor"/>
    <n v="7"/>
    <n v="14500"/>
    <n v="0"/>
    <n v="101500"/>
    <n v="0"/>
    <n v="0"/>
    <n v="62326.07"/>
    <n v="0"/>
    <n v="0"/>
    <x v="2"/>
    <s v="Ravi"/>
    <s v="UPI"/>
    <s v="Cancelled"/>
  </r>
  <r>
    <s v="SO10023"/>
    <x v="163"/>
    <s v="C018"/>
    <s v="Kavya Menon"/>
    <s v="Thiruvananthapuram"/>
    <x v="1"/>
    <s v="SMB"/>
    <s v="P003"/>
    <s v="Business Monitor 24"/>
    <x v="1"/>
    <s v="Monitor"/>
    <n v="8"/>
    <n v="14500"/>
    <n v="0"/>
    <n v="116000"/>
    <n v="0"/>
    <n v="116000"/>
    <n v="89123.8"/>
    <n v="26876.2"/>
    <n v="0.23169137931034484"/>
    <x v="2"/>
    <s v="Ravi"/>
    <s v="Credit Card"/>
    <s v="Completed"/>
  </r>
  <r>
    <s v="SO10140"/>
    <x v="164"/>
    <s v="C004"/>
    <s v="Sneha Reddy"/>
    <s v="Hyderabad"/>
    <x v="1"/>
    <s v="SMB"/>
    <s v="P005"/>
    <s v="Wireless Mouse"/>
    <x v="2"/>
    <s v="Mouse"/>
    <n v="4"/>
    <n v="1800"/>
    <n v="0.1"/>
    <n v="7200"/>
    <n v="720"/>
    <n v="-6480"/>
    <n v="5072.79"/>
    <n v="-1407.21"/>
    <n v="0.21716203703703704"/>
    <x v="0"/>
    <s v="Sanjay"/>
    <s v="Credit Card"/>
    <s v="Returned"/>
  </r>
  <r>
    <s v="SO10195"/>
    <x v="164"/>
    <s v="C012"/>
    <s v="Ishita Roy"/>
    <s v="Bhubaneswar"/>
    <x v="2"/>
    <s v="SMB"/>
    <s v="P009"/>
    <s v="Standing Desk"/>
    <x v="0"/>
    <s v="Desk"/>
    <n v="6"/>
    <n v="22000"/>
    <n v="0.1"/>
    <n v="132000"/>
    <n v="13200"/>
    <n v="-118800"/>
    <n v="91818"/>
    <n v="-26982"/>
    <n v="0.22712121212121211"/>
    <x v="2"/>
    <s v="Kavita"/>
    <s v="Credit Card"/>
    <s v="Returned"/>
  </r>
  <r>
    <s v="SO10223"/>
    <x v="164"/>
    <s v="C010"/>
    <s v="Meera Nair"/>
    <s v="Kochi"/>
    <x v="1"/>
    <s v="SMB"/>
    <s v="P002"/>
    <s v="Laptop Air 13"/>
    <x v="1"/>
    <s v="Standard Laptop"/>
    <n v="7"/>
    <n v="62000"/>
    <n v="0.1"/>
    <n v="434000"/>
    <n v="43400"/>
    <n v="390600"/>
    <n v="303265.98"/>
    <n v="87334.02"/>
    <n v="0.22358940092165899"/>
    <x v="1"/>
    <s v="Ravi"/>
    <s v="Bank Transfer"/>
    <s v="Completed"/>
  </r>
  <r>
    <s v="SO10007"/>
    <x v="165"/>
    <s v="C020"/>
    <s v="Tanya Kapoor"/>
    <s v="Nagpur"/>
    <x v="4"/>
    <s v="SMB"/>
    <s v="P006"/>
    <s v="Office Headset"/>
    <x v="2"/>
    <s v="Headset"/>
    <n v="4"/>
    <n v="4200"/>
    <n v="0.2"/>
    <n v="16800"/>
    <n v="3360"/>
    <n v="0"/>
    <n v="8019.56"/>
    <n v="0"/>
    <n v="0"/>
    <x v="2"/>
    <s v="Amit"/>
    <s v="Credit Card"/>
    <s v="Cancelled"/>
  </r>
  <r>
    <s v="SO10217"/>
    <x v="165"/>
    <s v="C009"/>
    <s v="Arjun Rao"/>
    <s v="Chennai"/>
    <x v="1"/>
    <s v="Enterprise"/>
    <s v="P010"/>
    <s v="Conference Camera"/>
    <x v="1"/>
    <s v="Camera"/>
    <n v="4"/>
    <n v="16500"/>
    <n v="0.2"/>
    <n v="66000"/>
    <n v="13200"/>
    <n v="52800"/>
    <n v="31274.77"/>
    <n v="21525.23"/>
    <n v="0.40767481060606059"/>
    <x v="2"/>
    <s v="Kavita"/>
    <s v="Net Banking"/>
    <s v="Completed"/>
  </r>
  <r>
    <s v="SO10046"/>
    <x v="166"/>
    <s v="C009"/>
    <s v="Arjun Rao"/>
    <s v="Chennai"/>
    <x v="1"/>
    <s v="Enterprise"/>
    <s v="P003"/>
    <s v="Business Monitor 24"/>
    <x v="1"/>
    <s v="Monitor"/>
    <n v="5"/>
    <n v="14500"/>
    <n v="0"/>
    <n v="72500"/>
    <n v="0"/>
    <n v="72500"/>
    <n v="43936.2"/>
    <n v="28563.8"/>
    <n v="0.39398344827586207"/>
    <x v="1"/>
    <s v="Sanjay"/>
    <s v="Bank Transfer"/>
    <s v="Completed"/>
  </r>
  <r>
    <s v="SO10216"/>
    <x v="167"/>
    <s v="C004"/>
    <s v="Sneha Reddy"/>
    <s v="Hyderabad"/>
    <x v="1"/>
    <s v="SMB"/>
    <s v="P007"/>
    <s v="Docking Station"/>
    <x v="2"/>
    <s v="Dock"/>
    <n v="5"/>
    <n v="8900"/>
    <n v="0.2"/>
    <n v="44500"/>
    <n v="8900"/>
    <n v="0"/>
    <n v="28099.21"/>
    <n v="0"/>
    <n v="0"/>
    <x v="2"/>
    <s v="Kavita"/>
    <s v="Net Banking"/>
    <s v="Cancelled"/>
  </r>
  <r>
    <s v="SO10239"/>
    <x v="167"/>
    <s v="C004"/>
    <s v="Sneha Reddy"/>
    <s v="Hyderabad"/>
    <x v="1"/>
    <s v="SMB"/>
    <s v="P004"/>
    <s v="Wireless Keyboard"/>
    <x v="2"/>
    <s v="Keyboard"/>
    <n v="8"/>
    <n v="3200"/>
    <n v="0"/>
    <n v="25600"/>
    <n v="0"/>
    <n v="25600"/>
    <n v="20370.78"/>
    <n v="5229.22"/>
    <n v="0.20426640625"/>
    <x v="2"/>
    <s v="Neeraj"/>
    <s v="UPI"/>
    <s v="Completed"/>
  </r>
  <r>
    <s v="SO10289"/>
    <x v="167"/>
    <s v="C020"/>
    <s v="Tanya Kapoor"/>
    <s v="Nagpur"/>
    <x v="4"/>
    <s v="SMB"/>
    <s v="P008"/>
    <s v="Office Chair"/>
    <x v="0"/>
    <s v="Chair"/>
    <n v="7"/>
    <n v="12500"/>
    <n v="0.15"/>
    <n v="87500"/>
    <n v="13125"/>
    <n v="0"/>
    <n v="52180.54"/>
    <n v="0"/>
    <n v="0"/>
    <x v="1"/>
    <s v="Kavita"/>
    <s v="Credit Card"/>
    <s v="Cancelled"/>
  </r>
  <r>
    <s v="SO10030"/>
    <x v="168"/>
    <s v="C002"/>
    <s v="Priya Singh"/>
    <s v="Mumbai"/>
    <x v="3"/>
    <s v="SMB"/>
    <s v="P001"/>
    <s v="Laptop Pro 14"/>
    <x v="1"/>
    <s v="Premium Laptop"/>
    <n v="8"/>
    <n v="78000"/>
    <n v="0.15"/>
    <n v="624000"/>
    <n v="93600"/>
    <n v="-530400"/>
    <n v="424666.3"/>
    <n v="-105733.7"/>
    <n v="0.19934709653092006"/>
    <x v="2"/>
    <s v="Ravi"/>
    <s v="Credit Card"/>
    <s v="Returned"/>
  </r>
  <r>
    <s v="SO10301"/>
    <x v="169"/>
    <s v="C010"/>
    <s v="Meera Nair"/>
    <s v="Kochi"/>
    <x v="1"/>
    <s v="SMB"/>
    <s v="P010"/>
    <s v="Conference Camera"/>
    <x v="1"/>
    <s v="Camera"/>
    <n v="2"/>
    <n v="16500"/>
    <n v="0.2"/>
    <n v="33000"/>
    <n v="6600"/>
    <n v="26400"/>
    <n v="16160.69"/>
    <n v="10239.31"/>
    <n v="0.38785265151515147"/>
    <x v="2"/>
    <s v="Amit"/>
    <s v="Credit Card"/>
    <s v="Completed"/>
  </r>
  <r>
    <s v="SO10031"/>
    <x v="170"/>
    <s v="C006"/>
    <s v="Ananya Das"/>
    <s v="Kolkata"/>
    <x v="2"/>
    <s v="SMB"/>
    <s v="P002"/>
    <s v="Laptop Air 13"/>
    <x v="1"/>
    <s v="Standard Laptop"/>
    <n v="2"/>
    <n v="62000"/>
    <n v="0.2"/>
    <n v="124000"/>
    <n v="24800"/>
    <n v="99200"/>
    <n v="78054.19"/>
    <n v="21145.81"/>
    <n v="0.21316340725806454"/>
    <x v="2"/>
    <s v="Kavita"/>
    <s v="UPI"/>
    <s v="Completed"/>
  </r>
  <r>
    <s v="SO10157"/>
    <x v="170"/>
    <s v="C003"/>
    <s v="Rahul Kumar"/>
    <s v="Bengaluru"/>
    <x v="1"/>
    <s v="Enterprise"/>
    <s v="P010"/>
    <s v="Conference Camera"/>
    <x v="1"/>
    <s v="Camera"/>
    <n v="7"/>
    <n v="16500"/>
    <n v="0.1"/>
    <n v="115500"/>
    <n v="11550"/>
    <n v="0"/>
    <n v="74769.06"/>
    <n v="0"/>
    <n v="0"/>
    <x v="2"/>
    <s v="Neeraj"/>
    <s v="UPI"/>
    <s v="Cancelled"/>
  </r>
  <r>
    <s v="SO10290"/>
    <x v="170"/>
    <s v="C012"/>
    <s v="Ishita Roy"/>
    <s v="Bhubaneswar"/>
    <x v="2"/>
    <s v="SMB"/>
    <s v="P009"/>
    <s v="Standing Desk"/>
    <x v="0"/>
    <s v="Desk"/>
    <n v="2"/>
    <n v="22000"/>
    <n v="0"/>
    <n v="44000"/>
    <n v="0"/>
    <n v="0"/>
    <n v="33640.15"/>
    <n v="0"/>
    <n v="0"/>
    <x v="0"/>
    <s v="Amit"/>
    <s v="UPI"/>
    <s v="Cancelled"/>
  </r>
  <r>
    <s v="SO10014"/>
    <x v="171"/>
    <s v="C006"/>
    <s v="Ananya Das"/>
    <s v="Kolkata"/>
    <x v="2"/>
    <s v="SMB"/>
    <s v="P007"/>
    <s v="Docking Station"/>
    <x v="2"/>
    <s v="Dock"/>
    <n v="2"/>
    <n v="8900"/>
    <n v="0.1"/>
    <n v="17800"/>
    <n v="1780"/>
    <n v="16020"/>
    <n v="10758.85"/>
    <n v="5261.15"/>
    <n v="0.32841136079900124"/>
    <x v="0"/>
    <s v="Amit"/>
    <s v="Credit Card"/>
    <s v="Completed"/>
  </r>
  <r>
    <s v="SO10101"/>
    <x v="172"/>
    <s v="C013"/>
    <s v="Aditya Jain"/>
    <s v="Noida"/>
    <x v="0"/>
    <s v="Enterprise"/>
    <s v="P004"/>
    <s v="Wireless Keyboard"/>
    <x v="2"/>
    <s v="Keyboard"/>
    <n v="3"/>
    <n v="3200"/>
    <n v="0"/>
    <n v="9600"/>
    <n v="0"/>
    <n v="9600"/>
    <n v="6204.47"/>
    <n v="3395.53"/>
    <n v="0.35370104166666666"/>
    <x v="1"/>
    <s v="Kavita"/>
    <s v="Bank Transfer"/>
    <s v="Completed"/>
  </r>
  <r>
    <s v="SO10185"/>
    <x v="173"/>
    <s v="C003"/>
    <s v="Rahul Kumar"/>
    <s v="Bengaluru"/>
    <x v="1"/>
    <s v="Enterprise"/>
    <s v="P007"/>
    <s v="Docking Station"/>
    <x v="2"/>
    <s v="Dock"/>
    <n v="3"/>
    <n v="8900"/>
    <n v="0.15"/>
    <n v="26700"/>
    <n v="4005"/>
    <n v="22695"/>
    <n v="14763.19"/>
    <n v="7931.81"/>
    <n v="0.34949592421238163"/>
    <x v="2"/>
    <s v="Amit"/>
    <s v="Bank Transfer"/>
    <s v="Completed"/>
  </r>
  <r>
    <s v="SO10186"/>
    <x v="173"/>
    <s v="C010"/>
    <s v="Meera Nair"/>
    <s v="Kochi"/>
    <x v="1"/>
    <s v="SMB"/>
    <s v="P008"/>
    <s v="Office Chair"/>
    <x v="0"/>
    <s v="Chair"/>
    <n v="7"/>
    <n v="12500"/>
    <n v="0"/>
    <n v="87500"/>
    <n v="0"/>
    <n v="87500"/>
    <n v="65235.06"/>
    <n v="22264.94"/>
    <n v="0.25445645714285714"/>
    <x v="1"/>
    <s v="Ravi"/>
    <s v="Bank Transfer"/>
    <s v="Completed"/>
  </r>
  <r>
    <s v="SO10037"/>
    <x v="174"/>
    <s v="C009"/>
    <s v="Arjun Rao"/>
    <s v="Chennai"/>
    <x v="1"/>
    <s v="Enterprise"/>
    <s v="P005"/>
    <s v="Wireless Mouse"/>
    <x v="2"/>
    <s v="Mouse"/>
    <n v="4"/>
    <n v="1800"/>
    <n v="0.2"/>
    <n v="7200"/>
    <n v="1440"/>
    <n v="0"/>
    <n v="3814.8"/>
    <n v="0"/>
    <n v="0"/>
    <x v="0"/>
    <s v="Amit"/>
    <s v="Net Banking"/>
    <s v="Cancelled"/>
  </r>
  <r>
    <s v="SO10092"/>
    <x v="174"/>
    <s v="C014"/>
    <s v="Pooja Shah"/>
    <s v="Surat"/>
    <x v="3"/>
    <s v="SMB"/>
    <s v="P006"/>
    <s v="Office Headset"/>
    <x v="2"/>
    <s v="Headset"/>
    <n v="5"/>
    <n v="4200"/>
    <n v="0"/>
    <n v="21000"/>
    <n v="0"/>
    <n v="0"/>
    <n v="12640.29"/>
    <n v="0"/>
    <n v="0"/>
    <x v="0"/>
    <s v="Kavita"/>
    <s v="Credit Card"/>
    <s v="Cancelled"/>
  </r>
  <r>
    <s v="SO10069"/>
    <x v="175"/>
    <s v="C006"/>
    <s v="Ananya Das"/>
    <s v="Kolkata"/>
    <x v="2"/>
    <s v="SMB"/>
    <s v="P010"/>
    <s v="Conference Camera"/>
    <x v="1"/>
    <s v="Camera"/>
    <n v="2"/>
    <n v="16500"/>
    <n v="0"/>
    <n v="33000"/>
    <n v="0"/>
    <n v="33000"/>
    <n v="26780.59"/>
    <n v="6219.41"/>
    <n v="0.18846696969696969"/>
    <x v="0"/>
    <s v="Ravi"/>
    <s v="Bank Transfer"/>
    <s v="Completed"/>
  </r>
  <r>
    <s v="SO10115"/>
    <x v="175"/>
    <s v="C010"/>
    <s v="Meera Nair"/>
    <s v="Kochi"/>
    <x v="1"/>
    <s v="SMB"/>
    <s v="P004"/>
    <s v="Wireless Keyboard"/>
    <x v="2"/>
    <s v="Keyboard"/>
    <n v="6"/>
    <n v="3200"/>
    <n v="0"/>
    <n v="19200"/>
    <n v="0"/>
    <n v="-19200"/>
    <n v="14069.54"/>
    <n v="-5130.46"/>
    <n v="0.26721145833333332"/>
    <x v="1"/>
    <s v="Sanjay"/>
    <s v="UPI"/>
    <s v="Returned"/>
  </r>
  <r>
    <s v="SO10188"/>
    <x v="176"/>
    <s v="C001"/>
    <s v="Aarav Sharma"/>
    <s v="Delhi"/>
    <x v="0"/>
    <s v="Enterprise"/>
    <s v="P003"/>
    <s v="Business Monitor 24"/>
    <x v="1"/>
    <s v="Monitor"/>
    <n v="8"/>
    <n v="14500"/>
    <n v="0"/>
    <n v="116000"/>
    <n v="0"/>
    <n v="116000"/>
    <n v="70794.240000000005"/>
    <n v="45205.760000000002"/>
    <n v="0.38970482758620689"/>
    <x v="0"/>
    <s v="Amit"/>
    <s v="Bank Transfer"/>
    <s v="Completed"/>
  </r>
  <r>
    <s v="SO10300"/>
    <x v="177"/>
    <s v="C020"/>
    <s v="Tanya Kapoor"/>
    <s v="Nagpur"/>
    <x v="4"/>
    <s v="SMB"/>
    <s v="P007"/>
    <s v="Docking Station"/>
    <x v="2"/>
    <s v="Dock"/>
    <n v="7"/>
    <n v="8900"/>
    <n v="0.15"/>
    <n v="62300"/>
    <n v="9345"/>
    <n v="52955"/>
    <n v="32165.7"/>
    <n v="20789.3"/>
    <n v="0.39258426966292131"/>
    <x v="1"/>
    <s v="Kavita"/>
    <s v="UPI"/>
    <s v="Completed"/>
  </r>
  <r>
    <s v="SO10177"/>
    <x v="178"/>
    <s v="C014"/>
    <s v="Pooja Shah"/>
    <s v="Surat"/>
    <x v="3"/>
    <s v="SMB"/>
    <s v="P001"/>
    <s v="Laptop Pro 14"/>
    <x v="1"/>
    <s v="Premium Laptop"/>
    <n v="6"/>
    <n v="78000"/>
    <n v="0"/>
    <n v="468000"/>
    <n v="0"/>
    <n v="468000"/>
    <n v="335536.95"/>
    <n v="132463.04999999999"/>
    <n v="0.28304070512820512"/>
    <x v="0"/>
    <s v="Sanjay"/>
    <s v="Credit Card"/>
    <s v="Completed"/>
  </r>
  <r>
    <s v="SO10225"/>
    <x v="179"/>
    <s v="C005"/>
    <s v="Vikram Patel"/>
    <s v="Ahmedabad"/>
    <x v="3"/>
    <s v="Mid-Market"/>
    <s v="P002"/>
    <s v="Laptop Air 13"/>
    <x v="1"/>
    <s v="Standard Laptop"/>
    <n v="4"/>
    <n v="62000"/>
    <n v="0"/>
    <n v="248000"/>
    <n v="0"/>
    <n v="-248000"/>
    <n v="146861.56"/>
    <n v="-101138.44"/>
    <n v="0.40781629032258065"/>
    <x v="2"/>
    <s v="Sanjay"/>
    <s v="UPI"/>
    <s v="Returned"/>
  </r>
  <r>
    <s v="SO10202"/>
    <x v="180"/>
    <s v="C019"/>
    <s v="Sahil Khan"/>
    <s v="Indore"/>
    <x v="4"/>
    <s v="Mid-Market"/>
    <s v="P007"/>
    <s v="Docking Station"/>
    <x v="2"/>
    <s v="Dock"/>
    <n v="1"/>
    <n v="8900"/>
    <n v="0.1"/>
    <n v="8900"/>
    <n v="890"/>
    <n v="-8010"/>
    <n v="6354.81"/>
    <n v="-1655.19"/>
    <n v="0.20664044943820226"/>
    <x v="1"/>
    <s v="Sanjay"/>
    <s v="Bank Transfer"/>
    <s v="Returned"/>
  </r>
  <r>
    <s v="SO10121"/>
    <x v="181"/>
    <s v="C016"/>
    <s v="Divya Iyer"/>
    <s v="Coimbatore"/>
    <x v="1"/>
    <s v="SMB"/>
    <s v="P001"/>
    <s v="Laptop Pro 14"/>
    <x v="1"/>
    <s v="Premium Laptop"/>
    <n v="6"/>
    <n v="78000"/>
    <n v="0.15"/>
    <n v="468000"/>
    <n v="70200"/>
    <n v="397800"/>
    <n v="251858.37"/>
    <n v="145941.63"/>
    <n v="0.3668718702865762"/>
    <x v="0"/>
    <s v="Neeraj"/>
    <s v="Bank Transfer"/>
    <s v="Completed"/>
  </r>
  <r>
    <s v="SO10097"/>
    <x v="182"/>
    <s v="C017"/>
    <s v="Nikhil Bansal"/>
    <s v="Chandigarh"/>
    <x v="0"/>
    <s v="Enterprise"/>
    <s v="P006"/>
    <s v="Office Headset"/>
    <x v="2"/>
    <s v="Headset"/>
    <n v="8"/>
    <n v="4200"/>
    <n v="0.2"/>
    <n v="33600"/>
    <n v="6720"/>
    <n v="26880"/>
    <n v="18442.09"/>
    <n v="8437.91"/>
    <n v="0.31391034226190473"/>
    <x v="2"/>
    <s v="Amit"/>
    <s v="UPI"/>
    <s v="Completed"/>
  </r>
  <r>
    <s v="SO10154"/>
    <x v="183"/>
    <s v="C003"/>
    <s v="Rahul Kumar"/>
    <s v="Bengaluru"/>
    <x v="1"/>
    <s v="Enterprise"/>
    <s v="P003"/>
    <s v="Business Monitor 24"/>
    <x v="1"/>
    <s v="Monitor"/>
    <n v="8"/>
    <n v="14500"/>
    <n v="0.1"/>
    <n v="116000"/>
    <n v="11600"/>
    <n v="-104400"/>
    <n v="79455.39"/>
    <n v="-24944.61"/>
    <n v="0.23893304597701151"/>
    <x v="1"/>
    <s v="Sanjay"/>
    <s v="Bank Transfer"/>
    <s v="Returned"/>
  </r>
  <r>
    <s v="SO10275"/>
    <x v="184"/>
    <s v="C011"/>
    <s v="Rohan Gupta"/>
    <s v="Lucknow"/>
    <x v="0"/>
    <s v="Mid-Market"/>
    <s v="P001"/>
    <s v="Laptop Pro 14"/>
    <x v="1"/>
    <s v="Premium Laptop"/>
    <n v="5"/>
    <n v="78000"/>
    <n v="0.1"/>
    <n v="390000"/>
    <n v="39000"/>
    <n v="351000"/>
    <n v="244908.44"/>
    <n v="106091.56"/>
    <n v="0.30225515669515668"/>
    <x v="0"/>
    <s v="Neeraj"/>
    <s v="Net Banking"/>
    <s v="Completed"/>
  </r>
  <r>
    <s v="SO10045"/>
    <x v="185"/>
    <s v="C009"/>
    <s v="Arjun Rao"/>
    <s v="Chennai"/>
    <x v="1"/>
    <s v="Enterprise"/>
    <s v="P006"/>
    <s v="Office Headset"/>
    <x v="2"/>
    <s v="Headset"/>
    <n v="7"/>
    <n v="4200"/>
    <n v="0.2"/>
    <n v="29400"/>
    <n v="5880"/>
    <n v="-23520"/>
    <n v="19179.990000000002"/>
    <n v="-4340.01"/>
    <n v="0.18452423469387755"/>
    <x v="1"/>
    <s v="Ravi"/>
    <s v="Credit Card"/>
    <s v="Returned"/>
  </r>
  <r>
    <s v="SO10153"/>
    <x v="186"/>
    <s v="C012"/>
    <s v="Ishita Roy"/>
    <s v="Bhubaneswar"/>
    <x v="2"/>
    <s v="SMB"/>
    <s v="P006"/>
    <s v="Office Headset"/>
    <x v="2"/>
    <s v="Headset"/>
    <n v="3"/>
    <n v="4200"/>
    <n v="0"/>
    <n v="12600"/>
    <n v="0"/>
    <n v="12600"/>
    <n v="7618.88"/>
    <n v="4981.12"/>
    <n v="0.39532698412698414"/>
    <x v="2"/>
    <s v="Sneha"/>
    <s v="UPI"/>
    <s v="Completed"/>
  </r>
  <r>
    <s v="SO10254"/>
    <x v="187"/>
    <s v="C007"/>
    <s v="Karan Mehta"/>
    <s v="Pune"/>
    <x v="3"/>
    <s v="Mid-Market"/>
    <s v="P006"/>
    <s v="Office Headset"/>
    <x v="2"/>
    <s v="Headset"/>
    <n v="2"/>
    <n v="4200"/>
    <n v="0.1"/>
    <n v="8400"/>
    <n v="840"/>
    <n v="7560"/>
    <n v="5921.84"/>
    <n v="1638.16"/>
    <n v="0.21668783068783071"/>
    <x v="0"/>
    <s v="Sanjay"/>
    <s v="UPI"/>
    <s v="Completed"/>
  </r>
  <r>
    <s v="SO10258"/>
    <x v="188"/>
    <s v="C015"/>
    <s v="Manish Yadav"/>
    <s v="Gurugram"/>
    <x v="0"/>
    <s v="Mid-Market"/>
    <s v="P009"/>
    <s v="Standing Desk"/>
    <x v="0"/>
    <s v="Desk"/>
    <n v="6"/>
    <n v="22000"/>
    <n v="0.05"/>
    <n v="132000"/>
    <n v="6600"/>
    <n v="-125400"/>
    <n v="80603.960000000006"/>
    <n v="-44796.04"/>
    <n v="0.3572251993620415"/>
    <x v="1"/>
    <s v="Neeraj"/>
    <s v="Credit Card"/>
    <s v="Returned"/>
  </r>
  <r>
    <s v="SO10067"/>
    <x v="189"/>
    <s v="C008"/>
    <s v="Neha Verma"/>
    <s v="Jaipur"/>
    <x v="0"/>
    <s v="SMB"/>
    <s v="P002"/>
    <s v="Laptop Air 13"/>
    <x v="1"/>
    <s v="Standard Laptop"/>
    <n v="1"/>
    <n v="62000"/>
    <n v="0"/>
    <n v="62000"/>
    <n v="0"/>
    <n v="62000"/>
    <n v="50090.22"/>
    <n v="11909.78"/>
    <n v="0.19209322580645163"/>
    <x v="2"/>
    <s v="Kavita"/>
    <s v="UPI"/>
    <s v="Completed"/>
  </r>
  <r>
    <s v="SO10209"/>
    <x v="190"/>
    <s v="C016"/>
    <s v="Divya Iyer"/>
    <s v="Coimbatore"/>
    <x v="1"/>
    <s v="SMB"/>
    <s v="P010"/>
    <s v="Conference Camera"/>
    <x v="1"/>
    <s v="Camera"/>
    <n v="8"/>
    <n v="16500"/>
    <n v="0.05"/>
    <n v="132000"/>
    <n v="6600"/>
    <n v="125400"/>
    <n v="88884.24"/>
    <n v="36515.760000000002"/>
    <n v="0.29119425837320578"/>
    <x v="1"/>
    <s v="Sneha"/>
    <s v="Bank Transfer"/>
    <s v="Completed"/>
  </r>
  <r>
    <s v="SO10261"/>
    <x v="191"/>
    <s v="C016"/>
    <s v="Divya Iyer"/>
    <s v="Coimbatore"/>
    <x v="1"/>
    <s v="SMB"/>
    <s v="P009"/>
    <s v="Standing Desk"/>
    <x v="0"/>
    <s v="Desk"/>
    <n v="6"/>
    <n v="22000"/>
    <n v="0.05"/>
    <n v="132000"/>
    <n v="6600"/>
    <n v="125400"/>
    <n v="95706.1"/>
    <n v="29693.9"/>
    <n v="0.23679346092503989"/>
    <x v="0"/>
    <s v="Sanjay"/>
    <s v="Net Banking"/>
    <s v="Completed"/>
  </r>
  <r>
    <s v="SO10246"/>
    <x v="192"/>
    <s v="C004"/>
    <s v="Sneha Reddy"/>
    <s v="Hyderabad"/>
    <x v="1"/>
    <s v="SMB"/>
    <s v="P001"/>
    <s v="Laptop Pro 14"/>
    <x v="1"/>
    <s v="Premium Laptop"/>
    <n v="7"/>
    <n v="78000"/>
    <n v="0.15"/>
    <n v="546000"/>
    <n v="81900"/>
    <n v="464100"/>
    <n v="354504.1"/>
    <n v="109595.9"/>
    <n v="0.23614716655893125"/>
    <x v="2"/>
    <s v="Sneha"/>
    <s v="Credit Card"/>
    <s v="Completed"/>
  </r>
  <r>
    <s v="SO10276"/>
    <x v="192"/>
    <s v="C006"/>
    <s v="Ananya Das"/>
    <s v="Kolkata"/>
    <x v="2"/>
    <s v="SMB"/>
    <s v="P010"/>
    <s v="Conference Camera"/>
    <x v="1"/>
    <s v="Camera"/>
    <n v="7"/>
    <n v="16500"/>
    <n v="0"/>
    <n v="115500"/>
    <n v="0"/>
    <n v="115500"/>
    <n v="88394.48"/>
    <n v="27105.52"/>
    <n v="0.23467982683982685"/>
    <x v="2"/>
    <s v="Sanjay"/>
    <s v="Credit Card"/>
    <s v="Completed"/>
  </r>
  <r>
    <s v="SO10036"/>
    <x v="193"/>
    <s v="C018"/>
    <s v="Kavya Menon"/>
    <s v="Thiruvananthapuram"/>
    <x v="1"/>
    <s v="SMB"/>
    <s v="P005"/>
    <s v="Wireless Mouse"/>
    <x v="2"/>
    <s v="Mouse"/>
    <n v="2"/>
    <n v="1800"/>
    <n v="0"/>
    <n v="3600"/>
    <n v="0"/>
    <n v="3600"/>
    <n v="2316.5"/>
    <n v="1283.5"/>
    <n v="0.35652777777777778"/>
    <x v="0"/>
    <s v="Kavita"/>
    <s v="UPI"/>
    <s v="Completed"/>
  </r>
  <r>
    <s v="SO10053"/>
    <x v="193"/>
    <s v="C010"/>
    <s v="Meera Nair"/>
    <s v="Kochi"/>
    <x v="1"/>
    <s v="SMB"/>
    <s v="P009"/>
    <s v="Standing Desk"/>
    <x v="0"/>
    <s v="Desk"/>
    <n v="6"/>
    <n v="22000"/>
    <n v="0"/>
    <n v="132000"/>
    <n v="0"/>
    <n v="132000"/>
    <n v="102487.66"/>
    <n v="29512.34"/>
    <n v="0.22357833333333332"/>
    <x v="0"/>
    <s v="Amit"/>
    <s v="UPI"/>
    <s v="Completed"/>
  </r>
  <r>
    <s v="SO10104"/>
    <x v="193"/>
    <s v="C013"/>
    <s v="Aditya Jain"/>
    <s v="Noida"/>
    <x v="0"/>
    <s v="Enterprise"/>
    <s v="P007"/>
    <s v="Docking Station"/>
    <x v="2"/>
    <s v="Dock"/>
    <n v="3"/>
    <n v="8900"/>
    <n v="0.1"/>
    <n v="26700"/>
    <n v="2670"/>
    <n v="24030"/>
    <n v="19501.740000000002"/>
    <n v="4528.26"/>
    <n v="0.18844194756554308"/>
    <x v="0"/>
    <s v="Kavita"/>
    <s v="Bank Transfer"/>
    <s v="Completed"/>
  </r>
  <r>
    <s v="SO10162"/>
    <x v="193"/>
    <s v="C003"/>
    <s v="Rahul Kumar"/>
    <s v="Bengaluru"/>
    <x v="1"/>
    <s v="Enterprise"/>
    <s v="P010"/>
    <s v="Conference Camera"/>
    <x v="1"/>
    <s v="Camera"/>
    <n v="3"/>
    <n v="16500"/>
    <n v="0.05"/>
    <n v="49500"/>
    <n v="2475"/>
    <n v="0"/>
    <n v="30775.78"/>
    <n v="0"/>
    <n v="0"/>
    <x v="0"/>
    <s v="Sanjay"/>
    <s v="Net Banking"/>
    <s v="Cancelled"/>
  </r>
  <r>
    <s v="SO10220"/>
    <x v="193"/>
    <s v="C018"/>
    <s v="Kavya Menon"/>
    <s v="Thiruvananthapuram"/>
    <x v="1"/>
    <s v="SMB"/>
    <s v="P006"/>
    <s v="Office Headset"/>
    <x v="2"/>
    <s v="Headset"/>
    <n v="8"/>
    <n v="4200"/>
    <n v="0.15"/>
    <n v="33600"/>
    <n v="5040"/>
    <n v="28560"/>
    <n v="19147.71"/>
    <n v="9412.2900000000009"/>
    <n v="0.329561974789916"/>
    <x v="1"/>
    <s v="Kavita"/>
    <s v="Bank Transfer"/>
    <s v="Completed"/>
  </r>
  <r>
    <s v="SO10050"/>
    <x v="194"/>
    <s v="C007"/>
    <s v="Karan Mehta"/>
    <s v="Pune"/>
    <x v="3"/>
    <s v="Mid-Market"/>
    <s v="P007"/>
    <s v="Docking Station"/>
    <x v="2"/>
    <s v="Dock"/>
    <n v="7"/>
    <n v="8900"/>
    <n v="0.2"/>
    <n v="62300"/>
    <n v="12460"/>
    <n v="49840"/>
    <n v="37856.089999999997"/>
    <n v="11983.91"/>
    <n v="0.24044763242375602"/>
    <x v="0"/>
    <s v="Kavita"/>
    <s v="Bank Transfer"/>
    <s v="Completed"/>
  </r>
  <r>
    <s v="SO10041"/>
    <x v="195"/>
    <s v="C007"/>
    <s v="Karan Mehta"/>
    <s v="Pune"/>
    <x v="3"/>
    <s v="Mid-Market"/>
    <s v="P004"/>
    <s v="Wireless Keyboard"/>
    <x v="2"/>
    <s v="Keyboard"/>
    <n v="2"/>
    <n v="3200"/>
    <n v="0.05"/>
    <n v="6400"/>
    <n v="320"/>
    <n v="6080"/>
    <n v="4664.75"/>
    <n v="1415.25"/>
    <n v="0.23277138157894736"/>
    <x v="0"/>
    <s v="Sanjay"/>
    <s v="UPI"/>
    <s v="Completed"/>
  </r>
  <r>
    <s v="SO10193"/>
    <x v="195"/>
    <s v="C003"/>
    <s v="Rahul Kumar"/>
    <s v="Bengaluru"/>
    <x v="1"/>
    <s v="Enterprise"/>
    <s v="P006"/>
    <s v="Office Headset"/>
    <x v="2"/>
    <s v="Headset"/>
    <n v="6"/>
    <n v="4200"/>
    <n v="0.2"/>
    <n v="25200"/>
    <n v="5040"/>
    <n v="-20160"/>
    <n v="12007"/>
    <n v="-8153"/>
    <n v="0.40441468253968255"/>
    <x v="1"/>
    <s v="Amit"/>
    <s v="UPI"/>
    <s v="Returned"/>
  </r>
  <r>
    <s v="SO10020"/>
    <x v="196"/>
    <s v="C010"/>
    <s v="Meera Nair"/>
    <s v="Kochi"/>
    <x v="1"/>
    <s v="SMB"/>
    <s v="P007"/>
    <s v="Docking Station"/>
    <x v="2"/>
    <s v="Dock"/>
    <n v="6"/>
    <n v="8900"/>
    <n v="0.1"/>
    <n v="53400"/>
    <n v="5340"/>
    <n v="48060"/>
    <n v="38251.31"/>
    <n v="9808.69"/>
    <n v="0.2040925925925926"/>
    <x v="2"/>
    <s v="Sneha"/>
    <s v="UPI"/>
    <s v="Completed"/>
  </r>
  <r>
    <s v="SO10120"/>
    <x v="197"/>
    <s v="C015"/>
    <s v="Manish Yadav"/>
    <s v="Gurugram"/>
    <x v="0"/>
    <s v="Mid-Market"/>
    <s v="P006"/>
    <s v="Office Headset"/>
    <x v="2"/>
    <s v="Headset"/>
    <n v="5"/>
    <n v="4200"/>
    <n v="0.15"/>
    <n v="21000"/>
    <n v="3150"/>
    <n v="0"/>
    <n v="11985.31"/>
    <n v="0"/>
    <n v="0"/>
    <x v="1"/>
    <s v="Ravi"/>
    <s v="UPI"/>
    <s v="Cancelled"/>
  </r>
  <r>
    <s v="SO10249"/>
    <x v="197"/>
    <s v="C019"/>
    <s v="Sahil Khan"/>
    <s v="Indore"/>
    <x v="4"/>
    <s v="Mid-Market"/>
    <s v="P010"/>
    <s v="Conference Camera"/>
    <x v="1"/>
    <s v="Camera"/>
    <n v="6"/>
    <n v="16500"/>
    <n v="0"/>
    <n v="99000"/>
    <n v="0"/>
    <n v="99000"/>
    <n v="64589.919999999998"/>
    <n v="34410.080000000002"/>
    <n v="0.34757656565656569"/>
    <x v="0"/>
    <s v="Kavita"/>
    <s v="UPI"/>
    <s v="Completed"/>
  </r>
  <r>
    <s v="SO10221"/>
    <x v="198"/>
    <s v="C018"/>
    <s v="Kavya Menon"/>
    <s v="Thiruvananthapuram"/>
    <x v="1"/>
    <s v="SMB"/>
    <s v="P006"/>
    <s v="Office Headset"/>
    <x v="2"/>
    <s v="Headset"/>
    <n v="5"/>
    <n v="4200"/>
    <n v="0.15"/>
    <n v="21000"/>
    <n v="3150"/>
    <n v="17850"/>
    <n v="12427.23"/>
    <n v="5422.77"/>
    <n v="0.30379663865546219"/>
    <x v="1"/>
    <s v="Kavita"/>
    <s v="Bank Transfer"/>
    <s v="Completed"/>
  </r>
  <r>
    <s v="SO10203"/>
    <x v="199"/>
    <s v="C016"/>
    <s v="Divya Iyer"/>
    <s v="Coimbatore"/>
    <x v="1"/>
    <s v="SMB"/>
    <s v="P004"/>
    <s v="Wireless Keyboard"/>
    <x v="2"/>
    <s v="Keyboard"/>
    <n v="7"/>
    <n v="3200"/>
    <n v="0.05"/>
    <n v="22400"/>
    <n v="1120"/>
    <n v="0"/>
    <n v="14658.74"/>
    <n v="0"/>
    <n v="0"/>
    <x v="2"/>
    <s v="Sneha"/>
    <s v="Net Banking"/>
    <s v="Cancelled"/>
  </r>
  <r>
    <s v="SO10088"/>
    <x v="200"/>
    <s v="C014"/>
    <s v="Pooja Shah"/>
    <s v="Surat"/>
    <x v="3"/>
    <s v="SMB"/>
    <s v="P008"/>
    <s v="Office Chair"/>
    <x v="0"/>
    <s v="Chair"/>
    <n v="8"/>
    <n v="12500"/>
    <n v="0.05"/>
    <n v="100000"/>
    <n v="5000"/>
    <n v="95000"/>
    <n v="55844.19"/>
    <n v="39155.81"/>
    <n v="0.41216642105263157"/>
    <x v="0"/>
    <s v="Amit"/>
    <s v="Net Banking"/>
    <s v="Completed"/>
  </r>
  <r>
    <s v="SO10235"/>
    <x v="201"/>
    <s v="C017"/>
    <s v="Nikhil Bansal"/>
    <s v="Chandigarh"/>
    <x v="0"/>
    <s v="Enterprise"/>
    <s v="P005"/>
    <s v="Wireless Mouse"/>
    <x v="2"/>
    <s v="Mouse"/>
    <n v="2"/>
    <n v="1800"/>
    <n v="0.2"/>
    <n v="3600"/>
    <n v="720"/>
    <n v="2880"/>
    <n v="2303.63"/>
    <n v="576.37"/>
    <n v="0.20012847222222221"/>
    <x v="1"/>
    <s v="Kavita"/>
    <s v="UPI"/>
    <s v="Completed"/>
  </r>
  <r>
    <s v="SO10078"/>
    <x v="202"/>
    <s v="C008"/>
    <s v="Neha Verma"/>
    <s v="Jaipur"/>
    <x v="0"/>
    <s v="SMB"/>
    <s v="P007"/>
    <s v="Docking Station"/>
    <x v="2"/>
    <s v="Dock"/>
    <n v="4"/>
    <n v="8900"/>
    <n v="0.05"/>
    <n v="35600"/>
    <n v="1780"/>
    <n v="33820"/>
    <n v="25004.83"/>
    <n v="8815.17"/>
    <n v="0.26064961561206385"/>
    <x v="1"/>
    <s v="Kavita"/>
    <s v="Bank Transfer"/>
    <s v="Completed"/>
  </r>
  <r>
    <s v="SO10234"/>
    <x v="202"/>
    <s v="C009"/>
    <s v="Arjun Rao"/>
    <s v="Chennai"/>
    <x v="1"/>
    <s v="Enterprise"/>
    <s v="P006"/>
    <s v="Office Headset"/>
    <x v="2"/>
    <s v="Headset"/>
    <n v="4"/>
    <n v="4200"/>
    <n v="0"/>
    <n v="16800"/>
    <n v="0"/>
    <n v="16800"/>
    <n v="12436.51"/>
    <n v="4363.49"/>
    <n v="0.2597315476190476"/>
    <x v="1"/>
    <s v="Sneha"/>
    <s v="Net Banking"/>
    <s v="Completed"/>
  </r>
  <r>
    <s v="SO10192"/>
    <x v="203"/>
    <s v="C020"/>
    <s v="Tanya Kapoor"/>
    <s v="Nagpur"/>
    <x v="4"/>
    <s v="SMB"/>
    <s v="P005"/>
    <s v="Wireless Mouse"/>
    <x v="2"/>
    <s v="Mouse"/>
    <n v="8"/>
    <n v="1800"/>
    <n v="0"/>
    <n v="14400"/>
    <n v="0"/>
    <n v="14400"/>
    <n v="8775.83"/>
    <n v="5624.17"/>
    <n v="0.39056736111111112"/>
    <x v="1"/>
    <s v="Sneha"/>
    <s v="Net Banking"/>
    <s v="Completed"/>
  </r>
  <r>
    <s v="SO10055"/>
    <x v="204"/>
    <s v="C019"/>
    <s v="Sahil Khan"/>
    <s v="Indore"/>
    <x v="4"/>
    <s v="Mid-Market"/>
    <s v="P004"/>
    <s v="Wireless Keyboard"/>
    <x v="2"/>
    <s v="Keyboard"/>
    <n v="7"/>
    <n v="3200"/>
    <n v="0.1"/>
    <n v="22400"/>
    <n v="2240"/>
    <n v="20160"/>
    <n v="13626.48"/>
    <n v="6533.52"/>
    <n v="0.32408333333333333"/>
    <x v="0"/>
    <s v="Sanjay"/>
    <s v="Credit Card"/>
    <s v="Completed"/>
  </r>
  <r>
    <s v="SO10098"/>
    <x v="205"/>
    <s v="C010"/>
    <s v="Meera Nair"/>
    <s v="Kochi"/>
    <x v="1"/>
    <s v="SMB"/>
    <s v="P008"/>
    <s v="Office Chair"/>
    <x v="0"/>
    <s v="Chair"/>
    <n v="8"/>
    <n v="12500"/>
    <n v="0"/>
    <n v="100000"/>
    <n v="0"/>
    <n v="0"/>
    <n v="58692.87"/>
    <n v="0"/>
    <n v="0"/>
    <x v="0"/>
    <s v="Sneha"/>
    <s v="UPI"/>
    <s v="Cancelled"/>
  </r>
  <r>
    <s v="SO10266"/>
    <x v="205"/>
    <s v="C001"/>
    <s v="Aarav Sharma"/>
    <s v="Delhi"/>
    <x v="0"/>
    <s v="Enterprise"/>
    <s v="P009"/>
    <s v="Standing Desk"/>
    <x v="0"/>
    <s v="Desk"/>
    <n v="7"/>
    <n v="22000"/>
    <n v="0"/>
    <n v="154000"/>
    <n v="0"/>
    <n v="154000"/>
    <n v="93275.33"/>
    <n v="60724.67"/>
    <n v="0.39431603896103895"/>
    <x v="0"/>
    <s v="Sneha"/>
    <s v="UPI"/>
    <s v="Completed"/>
  </r>
  <r>
    <s v="SO10091"/>
    <x v="206"/>
    <s v="C015"/>
    <s v="Manish Yadav"/>
    <s v="Gurugram"/>
    <x v="0"/>
    <s v="Mid-Market"/>
    <s v="P005"/>
    <s v="Wireless Mouse"/>
    <x v="2"/>
    <s v="Mouse"/>
    <n v="7"/>
    <n v="1800"/>
    <n v="0.05"/>
    <n v="12600"/>
    <n v="630"/>
    <n v="11970"/>
    <n v="8380.36"/>
    <n v="3589.64"/>
    <n v="0.2998863826232247"/>
    <x v="1"/>
    <s v="Ravi"/>
    <s v="Credit Card"/>
    <s v="Completed"/>
  </r>
  <r>
    <s v="SO10009"/>
    <x v="207"/>
    <s v="C007"/>
    <s v="Karan Mehta"/>
    <s v="Pune"/>
    <x v="3"/>
    <s v="Mid-Market"/>
    <s v="P005"/>
    <s v="Wireless Mouse"/>
    <x v="2"/>
    <s v="Mouse"/>
    <n v="2"/>
    <n v="1800"/>
    <n v="0.15"/>
    <n v="3600"/>
    <n v="540"/>
    <n v="-3060"/>
    <n v="2241.13"/>
    <n v="-818.87"/>
    <n v="0.26760457516339869"/>
    <x v="0"/>
    <s v="Sneha"/>
    <s v="UPI"/>
    <s v="Returned"/>
  </r>
  <r>
    <s v="SO10043"/>
    <x v="207"/>
    <s v="C009"/>
    <s v="Arjun Rao"/>
    <s v="Chennai"/>
    <x v="1"/>
    <s v="Enterprise"/>
    <s v="P003"/>
    <s v="Business Monitor 24"/>
    <x v="1"/>
    <s v="Monitor"/>
    <n v="2"/>
    <n v="14500"/>
    <n v="0.1"/>
    <n v="29000"/>
    <n v="2900"/>
    <n v="26100"/>
    <n v="20601.25"/>
    <n v="5498.75"/>
    <n v="0.2106800766283525"/>
    <x v="2"/>
    <s v="Sneha"/>
    <s v="Net Banking"/>
    <s v="Completed"/>
  </r>
  <r>
    <s v="SO10257"/>
    <x v="208"/>
    <s v="C008"/>
    <s v="Neha Verma"/>
    <s v="Jaipur"/>
    <x v="0"/>
    <s v="SMB"/>
    <s v="P010"/>
    <s v="Conference Camera"/>
    <x v="1"/>
    <s v="Camera"/>
    <n v="4"/>
    <n v="16500"/>
    <n v="0.1"/>
    <n v="66000"/>
    <n v="6600"/>
    <n v="-59400"/>
    <n v="47498.04"/>
    <n v="-11901.96"/>
    <n v="0.20036969696969695"/>
    <x v="1"/>
    <s v="Amit"/>
    <s v="Net Banking"/>
    <s v="Returned"/>
  </r>
  <r>
    <s v="SO10298"/>
    <x v="208"/>
    <s v="C013"/>
    <s v="Aditya Jain"/>
    <s v="Noida"/>
    <x v="0"/>
    <s v="Enterprise"/>
    <s v="P001"/>
    <s v="Laptop Pro 14"/>
    <x v="1"/>
    <s v="Premium Laptop"/>
    <n v="4"/>
    <n v="78000"/>
    <n v="0"/>
    <n v="312000"/>
    <n v="0"/>
    <n v="0"/>
    <n v="201802.46"/>
    <n v="0"/>
    <n v="0"/>
    <x v="2"/>
    <s v="Kavita"/>
    <s v="Credit Card"/>
    <s v="Cancelled"/>
  </r>
  <r>
    <s v="SO10159"/>
    <x v="209"/>
    <s v="C002"/>
    <s v="Priya Singh"/>
    <s v="Mumbai"/>
    <x v="3"/>
    <s v="SMB"/>
    <s v="P004"/>
    <s v="Wireless Keyboard"/>
    <x v="2"/>
    <s v="Keyboard"/>
    <n v="8"/>
    <n v="3200"/>
    <n v="0.1"/>
    <n v="25600"/>
    <n v="2560"/>
    <n v="-23040"/>
    <n v="16261.09"/>
    <n v="-6778.91"/>
    <n v="0.29422352430555554"/>
    <x v="2"/>
    <s v="Amit"/>
    <s v="Bank Transfer"/>
    <s v="Returned"/>
  </r>
  <r>
    <s v="SO10163"/>
    <x v="209"/>
    <s v="C005"/>
    <s v="Vikram Patel"/>
    <s v="Ahmedabad"/>
    <x v="3"/>
    <s v="Mid-Market"/>
    <s v="P010"/>
    <s v="Conference Camera"/>
    <x v="1"/>
    <s v="Camera"/>
    <n v="2"/>
    <n v="16500"/>
    <n v="0.05"/>
    <n v="33000"/>
    <n v="1650"/>
    <n v="0"/>
    <n v="22388.33"/>
    <n v="0"/>
    <n v="0"/>
    <x v="1"/>
    <s v="Sneha"/>
    <s v="Credit Card"/>
    <s v="Cancell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A79AB6-0A00-4B2C-AF90-AD27F9B29B9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showAll="0">
      <items count="11">
        <item x="1"/>
        <item x="6"/>
        <item x="2"/>
        <item x="8"/>
        <item x="5"/>
        <item x="3"/>
        <item x="4"/>
        <item x="9"/>
        <item x="0"/>
        <item x="7"/>
        <item t="default"/>
      </items>
    </pivotField>
    <pivotField axis="axisRow" showAll="0">
      <items count="11">
        <item x="2"/>
        <item x="7"/>
        <item x="4"/>
        <item x="6"/>
        <item x="1"/>
        <item x="9"/>
        <item x="3"/>
        <item x="0"/>
        <item x="8"/>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1">
    <i>
      <x/>
    </i>
    <i>
      <x v="1"/>
    </i>
    <i>
      <x v="2"/>
    </i>
    <i>
      <x v="3"/>
    </i>
    <i>
      <x v="4"/>
    </i>
    <i>
      <x v="5"/>
    </i>
    <i>
      <x v="6"/>
    </i>
    <i>
      <x v="7"/>
    </i>
    <i>
      <x v="8"/>
    </i>
    <i>
      <x v="9"/>
    </i>
    <i t="grand">
      <x/>
    </i>
  </rowItems>
  <colItems count="1">
    <i/>
  </colItems>
  <dataFields count="1">
    <dataField name="Sum of Net_Sales" fld="16"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550D61-A69F-4295-B11A-5BBB4CA0B137}"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2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axis="axisRow" showAll="0">
      <items count="21">
        <item x="19"/>
        <item x="0"/>
        <item x="4"/>
        <item x="3"/>
        <item x="1"/>
        <item x="16"/>
        <item x="7"/>
        <item x="14"/>
        <item x="15"/>
        <item x="2"/>
        <item x="10"/>
        <item x="13"/>
        <item x="17"/>
        <item x="5"/>
        <item x="6"/>
        <item x="18"/>
        <item x="9"/>
        <item x="12"/>
        <item x="8"/>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Net_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A40AB-4E92-4F2B-BC11-B9D92A8B4D39}"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25">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axis="axisRow" showAll="0">
      <items count="6">
        <item x="4"/>
        <item x="2"/>
        <item x="0"/>
        <item x="1"/>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Sum of Net_Sales" fld="16"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703EB9-B098-41F2-85F4-6ADE790F6925}" name="PivotTable1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items count="6">
        <item x="4"/>
        <item x="2"/>
        <item x="0"/>
        <item x="1"/>
        <item x="3"/>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Sum of Profit Margin %" fld="19"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85F87F-31CD-4821-9827-9A9E3057CCF6}" name="PivotTable1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26">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axis="axisRow" showAll="0">
      <items count="6">
        <item x="4"/>
        <item x="2"/>
        <item x="0"/>
        <item x="1"/>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Fields count="1">
    <field x="-2"/>
  </colFields>
  <colItems count="3">
    <i>
      <x/>
    </i>
    <i i="1">
      <x v="1"/>
    </i>
    <i i="2">
      <x v="2"/>
    </i>
  </colItems>
  <dataFields count="3">
    <dataField name="Sum of Net_Sales" fld="16" baseField="0" baseItem="0"/>
    <dataField name="Sum of Profit" fld="18" baseField="0" baseItem="0"/>
    <dataField name="Average of Profit Margin %" fld="19" subtotal="average" baseField="5"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D8F2F8-F82A-45A0-A5A0-99E52E369F5A}" name="PivotTable1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0" firstDataRow="1" firstDataCol="1"/>
  <pivotFields count="26">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numFmtId="9" showAll="0"/>
    <pivotField axis="axisRow" showAll="0">
      <items count="4">
        <item x="2"/>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4">
    <i>
      <x/>
    </i>
    <i>
      <x v="1"/>
    </i>
    <i>
      <x v="2"/>
    </i>
    <i t="grand">
      <x/>
    </i>
  </rowItems>
  <colFields count="1">
    <field x="-2"/>
  </colFields>
  <colItems count="4">
    <i>
      <x/>
    </i>
    <i i="1">
      <x v="1"/>
    </i>
    <i i="2">
      <x v="2"/>
    </i>
    <i i="3">
      <x v="3"/>
    </i>
  </colItems>
  <dataFields count="4">
    <dataField name="Sum of Net_Sales" fld="16" baseField="0" baseItem="0"/>
    <dataField name="Average of Profit Margin %" fld="19" subtotal="average" baseField="20" baseItem="0" numFmtId="9"/>
    <dataField name="Count of Customer_ID" fld="2" subtotal="count"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10190E-C1DC-47FF-84F2-0C48C2FCAFB9}" name="PivotTable1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dataField="1"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4F48D5-3BFB-42A9-BEE1-7CFF2D3B703D}" name="PivotTable1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numFmtId="9"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Net_Sales" fld="16" baseField="0" baseItem="0"/>
    <dataField name="Sum of Profit" fld="18" baseField="0"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50348C-A39A-4330-B5E9-16C5E66FB230}" name="PivotTable1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6">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i>
    <i>
      <x v="1"/>
    </i>
    <i>
      <x v="2"/>
    </i>
    <i t="grand">
      <x/>
    </i>
  </rowItems>
  <colItems count="1">
    <i/>
  </colItems>
  <dataFields count="1">
    <dataField name="Sum of Net_Sales" fld="16" baseField="0" baseItem="0"/>
  </dataFields>
  <chartFormats count="4">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9" count="1" selected="0">
            <x v="0"/>
          </reference>
        </references>
      </pivotArea>
    </chartFormat>
    <chartFormat chart="7" format="3">
      <pivotArea type="data" outline="0" fieldPosition="0">
        <references count="2">
          <reference field="4294967294" count="1" selected="0">
            <x v="0"/>
          </reference>
          <reference field="9" count="1" selected="0">
            <x v="1"/>
          </reference>
        </references>
      </pivotArea>
    </chartFormat>
    <chartFormat chart="7"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902DE6-A616-45CD-A773-2163A6D943FB}" name="PivotTable1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axis="axisRow" showAll="0">
      <items count="4">
        <item x="2"/>
        <item x="0"/>
        <item x="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4">
    <i>
      <x/>
    </i>
    <i>
      <x v="1"/>
    </i>
    <i>
      <x v="2"/>
    </i>
    <i t="grand">
      <x/>
    </i>
  </rowItems>
  <colItems count="1">
    <i/>
  </colItems>
  <dataFields count="1">
    <dataField name="Sum of Net_Sales" fld="16"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D5B1BF-565A-466F-AFCC-28207407AE10}" name="PivotTable2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numFmtId="14"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Margin %" fld="19"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E3A74C-D280-4905-BDA7-684EE4BA5F4A}" sourceName="Region">
  <extLst>
    <x:ext xmlns:x15="http://schemas.microsoft.com/office/spreadsheetml/2010/11/main" uri="{2F2917AC-EB37-4324-AD4E-5DD8C200BD13}">
      <x15:tableSlicerCache tableId="5"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50C942-5171-4FD7-947B-4B652689A351}" sourceName="Category">
  <extLst>
    <x:ext xmlns:x15="http://schemas.microsoft.com/office/spreadsheetml/2010/11/main" uri="{2F2917AC-EB37-4324-AD4E-5DD8C200BD13}">
      <x15:tableSlicerCache tableId="5" column="1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E9FDF92-2DC4-43C3-BFCF-58FDD6A863B8}" sourceName="Sales_Channel">
  <extLst>
    <x:ext xmlns:x15="http://schemas.microsoft.com/office/spreadsheetml/2010/11/main" uri="{2F2917AC-EB37-4324-AD4E-5DD8C200BD13}">
      <x15:tableSlicerCache tableId="5" column="2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2F1FA6D2-0BD2-4561-8C7E-369F54FF17E4}" sourceName="Order_Status">
  <extLst>
    <x:ext xmlns:x15="http://schemas.microsoft.com/office/spreadsheetml/2010/11/main" uri="{2F2917AC-EB37-4324-AD4E-5DD8C200BD13}">
      <x15:tableSlicerCache tableId="5" column="2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389531-9AF4-4F38-9ED0-48F34A441CF8}" cache="Slicer_Region" caption="Region" rowHeight="241300"/>
  <slicer name="Category" xr10:uid="{2727C1FF-3E57-4870-AFAE-EFFF06DEC446}" cache="Slicer_Category" caption="Category" rowHeight="241300"/>
  <slicer name="Sales_Channel" xr10:uid="{E9BA4292-E6FE-498E-83AE-D698E6DAEBCA}" cache="Slicer_Sales_Channel" caption="Sales_Channel" rowHeight="241300"/>
  <slicer name="Order_Status" xr10:uid="{F3C04ACE-C017-489B-8B7D-AE46206A054D}" cache="Slicer_Order_Status"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A660F98-373A-47C9-AA76-B961F127C275}" cache="Slicer_Region" caption="Region" rowHeight="241300"/>
  <slicer name="Category 1" xr10:uid="{0BD0D2C4-FA62-4CFB-87B6-2F9C7A171DCC}" cache="Slicer_Category" caption="Category" rowHeight="241300"/>
  <slicer name="Sales_Channel 1" xr10:uid="{B21D6030-3BDC-4D64-9FF9-991EB568E5B2}" cache="Slicer_Sales_Channel" caption="Sales_Channel" rowHeight="241300"/>
  <slicer name="Order_Status 1" xr10:uid="{908695D3-E0FF-40F8-BC99-B33431E8C967}" cache="Slicer_Order_Status" caption="Order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587E4A-4425-4F10-AB3C-82F3DC48CA4D}" name="Table5" displayName="Table5" ref="A1:X301" totalsRowShown="0" headerRowDxfId="0" dataDxfId="1" tableBorderDxfId="26">
  <autoFilter ref="A1:X301" xr:uid="{62587E4A-4425-4F10-AB3C-82F3DC48CA4D}"/>
  <tableColumns count="24">
    <tableColumn id="1" xr3:uid="{38FD4668-86CA-4888-8D98-8B4ED8B7A108}" name="Order_ID" dataDxfId="25"/>
    <tableColumn id="2" xr3:uid="{30A2039E-2253-4775-B34E-61E0808CC28F}" name="Order_Date" dataDxfId="24"/>
    <tableColumn id="3" xr3:uid="{91D60ECE-B3AF-459A-865E-9738747795DE}" name="Customer_ID" dataDxfId="23"/>
    <tableColumn id="4" xr3:uid="{6AC65C75-1908-415C-A603-ACC82AC34583}" name="Customer_Name" dataDxfId="22"/>
    <tableColumn id="5" xr3:uid="{ACA14BAA-9C39-4E06-B232-891BC7D630A1}" name="City" dataDxfId="21"/>
    <tableColumn id="6" xr3:uid="{B0931F15-F9B6-4E2A-BA90-1CF2DD5F0C0E}" name="Region" dataDxfId="20"/>
    <tableColumn id="7" xr3:uid="{28408BC9-C4A5-4600-B827-F344996D404D}" name="Customer_Segment" dataDxfId="19"/>
    <tableColumn id="8" xr3:uid="{FC1781E7-7B94-48BB-9D59-BF50C7DCBD88}" name="Product_ID" dataDxfId="18"/>
    <tableColumn id="9" xr3:uid="{E3BEF136-3287-4E74-ABAD-D0E0B591FC4F}" name="Product_Name" dataDxfId="17"/>
    <tableColumn id="10" xr3:uid="{CFD84DCF-C5E8-418C-B711-D66EFEDC41E7}" name="Category" dataDxfId="16"/>
    <tableColumn id="11" xr3:uid="{4AF960FB-0BBB-46D9-ABF9-C058DBCC8C91}" name="Subcategory" dataDxfId="15"/>
    <tableColumn id="12" xr3:uid="{651C25A8-6028-4379-8483-A9E9786F3809}" name="Quantity" dataDxfId="14"/>
    <tableColumn id="13" xr3:uid="{C1023042-E78B-4E6B-B992-DC4202A5300F}" name="Unit_Price" dataDxfId="13"/>
    <tableColumn id="14" xr3:uid="{F5E3A96E-413F-4471-9290-9C98010385A2}" name="Discount_%" dataDxfId="12"/>
    <tableColumn id="15" xr3:uid="{A4DE7148-A579-466A-BF58-068984F075F8}" name="Gross_Sales" dataDxfId="11"/>
    <tableColumn id="16" xr3:uid="{7342730A-B69E-4809-89EB-761E4DD717ED}" name="Discount_Amount" dataDxfId="10"/>
    <tableColumn id="17" xr3:uid="{B1915AA0-AB98-4F0F-8149-B1CCDC3A2C25}" name="Net_Sales" dataDxfId="9"/>
    <tableColumn id="18" xr3:uid="{7D38F0FB-DCC9-41A9-867D-B3AF68F4B127}" name="Cost" dataDxfId="8"/>
    <tableColumn id="19" xr3:uid="{A633A799-C461-4D98-B302-4B4FE0E3C2A8}" name="Profit" dataDxfId="7"/>
    <tableColumn id="20" xr3:uid="{C3E19E05-E8C0-4C9E-9650-67BAAF43EEF8}" name="Profit Margin %" dataDxfId="6" dataCellStyle="Percent">
      <calculatedColumnFormula>IFERROR(Raw_Data!$S2/Raw_Data!$Q2,0)</calculatedColumnFormula>
    </tableColumn>
    <tableColumn id="21" xr3:uid="{17FE611E-2A73-4AFD-B67B-9B2F3D51BA9A}" name="Sales_Channel" dataDxfId="5"/>
    <tableColumn id="22" xr3:uid="{43737FED-AFEE-4D8B-B9F2-73BCEAFF358B}" name="Sales_Rep" dataDxfId="4"/>
    <tableColumn id="23" xr3:uid="{01BC5E7A-53F0-4961-9277-CEBA7858BCDC}" name="Payment_Method" dataDxfId="3"/>
    <tableColumn id="24" xr3:uid="{AA02F59B-45E8-49E9-A138-A1857544A28B}" name="Order_Statu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065C9-A129-4CDB-A906-44A03B2D195A}">
  <dimension ref="A3:B14"/>
  <sheetViews>
    <sheetView tabSelected="1" workbookViewId="0">
      <selection activeCell="B13" sqref="B13"/>
    </sheetView>
  </sheetViews>
  <sheetFormatPr defaultRowHeight="14.5" x14ac:dyDescent="0.35"/>
  <cols>
    <col min="1" max="1" width="17.90625" bestFit="1" customWidth="1"/>
    <col min="2" max="3" width="15.36328125" bestFit="1" customWidth="1"/>
  </cols>
  <sheetData>
    <row r="3" spans="1:2" x14ac:dyDescent="0.35">
      <c r="A3" s="5" t="s">
        <v>440</v>
      </c>
      <c r="B3" t="s">
        <v>442</v>
      </c>
    </row>
    <row r="4" spans="1:2" x14ac:dyDescent="0.35">
      <c r="A4" s="6" t="s">
        <v>119</v>
      </c>
      <c r="B4" s="3">
        <v>970050</v>
      </c>
    </row>
    <row r="5" spans="1:2" x14ac:dyDescent="0.35">
      <c r="A5" s="6" t="s">
        <v>163</v>
      </c>
      <c r="B5" s="3">
        <v>1094775</v>
      </c>
    </row>
    <row r="6" spans="1:2" x14ac:dyDescent="0.35">
      <c r="A6" s="6" t="s">
        <v>44</v>
      </c>
      <c r="B6" s="3">
        <v>570490</v>
      </c>
    </row>
    <row r="7" spans="1:2" x14ac:dyDescent="0.35">
      <c r="A7" s="6" t="s">
        <v>81</v>
      </c>
      <c r="B7" s="3">
        <v>3044200</v>
      </c>
    </row>
    <row r="8" spans="1:2" x14ac:dyDescent="0.35">
      <c r="A8" s="6" t="s">
        <v>30</v>
      </c>
      <c r="B8" s="3">
        <v>4083300</v>
      </c>
    </row>
    <row r="9" spans="1:2" x14ac:dyDescent="0.35">
      <c r="A9" s="6" t="s">
        <v>100</v>
      </c>
      <c r="B9" s="3">
        <v>1179375</v>
      </c>
    </row>
    <row r="10" spans="1:2" x14ac:dyDescent="0.35">
      <c r="A10" s="6" t="s">
        <v>73</v>
      </c>
      <c r="B10" s="3">
        <v>218400</v>
      </c>
    </row>
    <row r="11" spans="1:2" x14ac:dyDescent="0.35">
      <c r="A11" s="6" t="s">
        <v>111</v>
      </c>
      <c r="B11" s="3">
        <v>1494900</v>
      </c>
    </row>
    <row r="12" spans="1:2" x14ac:dyDescent="0.35">
      <c r="A12" s="6" t="s">
        <v>152</v>
      </c>
      <c r="B12" s="3">
        <v>93600</v>
      </c>
    </row>
    <row r="13" spans="1:2" x14ac:dyDescent="0.35">
      <c r="A13" s="6" t="s">
        <v>62</v>
      </c>
      <c r="B13" s="3">
        <v>203040</v>
      </c>
    </row>
    <row r="14" spans="1:2" x14ac:dyDescent="0.35">
      <c r="A14" s="6" t="s">
        <v>441</v>
      </c>
      <c r="B14" s="3">
        <v>12952130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727D-52FF-48DD-B472-3DD0D9E03409}">
  <dimension ref="A3:B24"/>
  <sheetViews>
    <sheetView workbookViewId="0">
      <selection activeCell="A3" sqref="A3"/>
    </sheetView>
  </sheetViews>
  <sheetFormatPr defaultRowHeight="14.5" x14ac:dyDescent="0.35"/>
  <cols>
    <col min="1" max="1" width="12.453125" bestFit="1" customWidth="1"/>
    <col min="2" max="2" width="15.36328125" bestFit="1" customWidth="1"/>
  </cols>
  <sheetData>
    <row r="3" spans="1:2" x14ac:dyDescent="0.35">
      <c r="A3" s="5" t="s">
        <v>440</v>
      </c>
      <c r="B3" t="s">
        <v>442</v>
      </c>
    </row>
    <row r="4" spans="1:2" x14ac:dyDescent="0.35">
      <c r="A4" s="6" t="s">
        <v>156</v>
      </c>
      <c r="B4" s="3">
        <v>792370</v>
      </c>
    </row>
    <row r="5" spans="1:2" x14ac:dyDescent="0.35">
      <c r="A5" s="6" t="s">
        <v>95</v>
      </c>
      <c r="B5" s="3">
        <v>41675</v>
      </c>
    </row>
    <row r="6" spans="1:2" x14ac:dyDescent="0.35">
      <c r="A6" s="6" t="s">
        <v>106</v>
      </c>
      <c r="B6" s="3">
        <v>840585</v>
      </c>
    </row>
    <row r="7" spans="1:2" x14ac:dyDescent="0.35">
      <c r="A7" s="6" t="s">
        <v>171</v>
      </c>
      <c r="B7" s="3">
        <v>935800</v>
      </c>
    </row>
    <row r="8" spans="1:2" x14ac:dyDescent="0.35">
      <c r="A8" s="6" t="s">
        <v>128</v>
      </c>
      <c r="B8" s="3">
        <v>1288050</v>
      </c>
    </row>
    <row r="9" spans="1:2" x14ac:dyDescent="0.35">
      <c r="A9" s="6" t="s">
        <v>177</v>
      </c>
      <c r="B9" s="3">
        <v>299840</v>
      </c>
    </row>
    <row r="10" spans="1:2" x14ac:dyDescent="0.35">
      <c r="A10" s="6" t="s">
        <v>85</v>
      </c>
      <c r="B10" s="3">
        <v>148295</v>
      </c>
    </row>
    <row r="11" spans="1:2" x14ac:dyDescent="0.35">
      <c r="A11" s="6" t="s">
        <v>52</v>
      </c>
      <c r="B11" s="3">
        <v>825130</v>
      </c>
    </row>
    <row r="12" spans="1:2" x14ac:dyDescent="0.35">
      <c r="A12" s="6" t="s">
        <v>91</v>
      </c>
      <c r="B12" s="3">
        <v>300855</v>
      </c>
    </row>
    <row r="13" spans="1:2" x14ac:dyDescent="0.35">
      <c r="A13" s="6" t="s">
        <v>132</v>
      </c>
      <c r="B13" s="3">
        <v>1115510</v>
      </c>
    </row>
    <row r="14" spans="1:2" x14ac:dyDescent="0.35">
      <c r="A14" s="6" t="s">
        <v>78</v>
      </c>
      <c r="B14" s="3">
        <v>1633030</v>
      </c>
    </row>
    <row r="15" spans="1:2" x14ac:dyDescent="0.35">
      <c r="A15" s="6" t="s">
        <v>116</v>
      </c>
      <c r="B15" s="3">
        <v>186905</v>
      </c>
    </row>
    <row r="16" spans="1:2" x14ac:dyDescent="0.35">
      <c r="A16" s="6" t="s">
        <v>143</v>
      </c>
      <c r="B16" s="3">
        <v>1001410</v>
      </c>
    </row>
    <row r="17" spans="1:2" x14ac:dyDescent="0.35">
      <c r="A17" s="6" t="s">
        <v>147</v>
      </c>
      <c r="B17" s="3">
        <v>-523980</v>
      </c>
    </row>
    <row r="18" spans="1:2" x14ac:dyDescent="0.35">
      <c r="A18" s="6" t="s">
        <v>136</v>
      </c>
      <c r="B18" s="3">
        <v>85315</v>
      </c>
    </row>
    <row r="19" spans="1:2" x14ac:dyDescent="0.35">
      <c r="A19" s="6" t="s">
        <v>58</v>
      </c>
      <c r="B19" s="3">
        <v>1244055</v>
      </c>
    </row>
    <row r="20" spans="1:2" x14ac:dyDescent="0.35">
      <c r="A20" s="6" t="s">
        <v>39</v>
      </c>
      <c r="B20" s="3">
        <v>251730</v>
      </c>
    </row>
    <row r="21" spans="1:2" x14ac:dyDescent="0.35">
      <c r="A21" s="6" t="s">
        <v>25</v>
      </c>
      <c r="B21" s="3">
        <v>1398375</v>
      </c>
    </row>
    <row r="22" spans="1:2" x14ac:dyDescent="0.35">
      <c r="A22" s="6" t="s">
        <v>68</v>
      </c>
      <c r="B22" s="3">
        <v>526655</v>
      </c>
    </row>
    <row r="23" spans="1:2" x14ac:dyDescent="0.35">
      <c r="A23" s="6" t="s">
        <v>123</v>
      </c>
      <c r="B23" s="3">
        <v>560525</v>
      </c>
    </row>
    <row r="24" spans="1:2" x14ac:dyDescent="0.35">
      <c r="A24" s="6" t="s">
        <v>441</v>
      </c>
      <c r="B24" s="3">
        <v>12952130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1FAF-4314-463D-9714-29A5F7022FF1}">
  <dimension ref="A3:B9"/>
  <sheetViews>
    <sheetView workbookViewId="0">
      <selection activeCell="A3" sqref="A3"/>
    </sheetView>
  </sheetViews>
  <sheetFormatPr defaultRowHeight="14.5" x14ac:dyDescent="0.35"/>
  <cols>
    <col min="1" max="1" width="12.36328125" bestFit="1" customWidth="1"/>
    <col min="2" max="3" width="15.36328125" bestFit="1" customWidth="1"/>
  </cols>
  <sheetData>
    <row r="3" spans="1:2" x14ac:dyDescent="0.35">
      <c r="A3" s="5" t="s">
        <v>440</v>
      </c>
      <c r="B3" t="s">
        <v>442</v>
      </c>
    </row>
    <row r="4" spans="1:2" x14ac:dyDescent="0.35">
      <c r="A4" s="6" t="s">
        <v>41</v>
      </c>
      <c r="B4" s="3">
        <v>778385</v>
      </c>
    </row>
    <row r="5" spans="1:2" x14ac:dyDescent="0.35">
      <c r="A5" s="6" t="s">
        <v>108</v>
      </c>
      <c r="B5" s="3">
        <v>1140425</v>
      </c>
    </row>
    <row r="6" spans="1:2" x14ac:dyDescent="0.35">
      <c r="A6" s="6" t="s">
        <v>60</v>
      </c>
      <c r="B6" s="3">
        <v>4198890</v>
      </c>
    </row>
    <row r="7" spans="1:2" x14ac:dyDescent="0.35">
      <c r="A7" s="6" t="s">
        <v>27</v>
      </c>
      <c r="B7" s="3">
        <v>5648180</v>
      </c>
    </row>
    <row r="8" spans="1:2" x14ac:dyDescent="0.35">
      <c r="A8" s="6" t="s">
        <v>87</v>
      </c>
      <c r="B8" s="3">
        <v>1186250</v>
      </c>
    </row>
    <row r="9" spans="1:2" x14ac:dyDescent="0.35">
      <c r="A9" s="6" t="s">
        <v>441</v>
      </c>
      <c r="B9" s="3">
        <v>12952130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F2B5-7860-40FC-8C9C-29EF5B0D2F59}">
  <dimension ref="A3:B7"/>
  <sheetViews>
    <sheetView workbookViewId="0">
      <selection activeCell="B6" sqref="B6"/>
    </sheetView>
  </sheetViews>
  <sheetFormatPr defaultRowHeight="14.5" x14ac:dyDescent="0.35"/>
  <cols>
    <col min="1" max="1" width="12.36328125" bestFit="1" customWidth="1"/>
    <col min="2" max="2" width="20.26953125" bestFit="1" customWidth="1"/>
  </cols>
  <sheetData>
    <row r="3" spans="1:2" x14ac:dyDescent="0.35">
      <c r="A3" s="5" t="s">
        <v>440</v>
      </c>
      <c r="B3" t="s">
        <v>457</v>
      </c>
    </row>
    <row r="4" spans="1:2" x14ac:dyDescent="0.35">
      <c r="A4" s="6" t="s">
        <v>45</v>
      </c>
      <c r="B4" s="26">
        <v>33.349861170950128</v>
      </c>
    </row>
    <row r="5" spans="1:2" x14ac:dyDescent="0.35">
      <c r="A5" s="6" t="s">
        <v>31</v>
      </c>
      <c r="B5" s="26">
        <v>24.704912177878356</v>
      </c>
    </row>
    <row r="6" spans="1:2" x14ac:dyDescent="0.35">
      <c r="A6" s="6" t="s">
        <v>101</v>
      </c>
      <c r="B6" s="26">
        <v>13.254917648562884</v>
      </c>
    </row>
    <row r="7" spans="1:2" x14ac:dyDescent="0.35">
      <c r="A7" s="6" t="s">
        <v>441</v>
      </c>
      <c r="B7" s="26">
        <v>71.309690997391371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F5A5-87DC-440C-886F-6B89639EA37A}">
  <dimension ref="A3:D9"/>
  <sheetViews>
    <sheetView workbookViewId="0">
      <selection activeCell="J2" sqref="A2:XFD2"/>
    </sheetView>
  </sheetViews>
  <sheetFormatPr defaultRowHeight="14.5" x14ac:dyDescent="0.35"/>
  <cols>
    <col min="1" max="1" width="12.36328125" bestFit="1" customWidth="1"/>
    <col min="2" max="2" width="15.36328125" bestFit="1" customWidth="1"/>
    <col min="3" max="3" width="11.81640625" bestFit="1" customWidth="1"/>
    <col min="4" max="4" width="23.453125" bestFit="1" customWidth="1"/>
  </cols>
  <sheetData>
    <row r="3" spans="1:4" x14ac:dyDescent="0.35">
      <c r="A3" s="5" t="s">
        <v>440</v>
      </c>
      <c r="B3" t="s">
        <v>442</v>
      </c>
      <c r="C3" t="s">
        <v>443</v>
      </c>
      <c r="D3" t="s">
        <v>458</v>
      </c>
    </row>
    <row r="4" spans="1:4" x14ac:dyDescent="0.35">
      <c r="A4" s="6" t="s">
        <v>41</v>
      </c>
      <c r="B4" s="3">
        <v>778385</v>
      </c>
      <c r="C4" s="3">
        <v>264238.2</v>
      </c>
      <c r="D4" s="26">
        <v>0.24651231496235076</v>
      </c>
    </row>
    <row r="5" spans="1:4" x14ac:dyDescent="0.35">
      <c r="A5" s="6" t="s">
        <v>108</v>
      </c>
      <c r="B5" s="3">
        <v>1140425</v>
      </c>
      <c r="C5" s="3">
        <v>351826.41000000003</v>
      </c>
      <c r="D5" s="26">
        <v>0.24605029855133462</v>
      </c>
    </row>
    <row r="6" spans="1:4" x14ac:dyDescent="0.35">
      <c r="A6" s="6" t="s">
        <v>60</v>
      </c>
      <c r="B6" s="3">
        <v>4198890</v>
      </c>
      <c r="C6" s="3">
        <v>1284706.79</v>
      </c>
      <c r="D6" s="26">
        <v>0.22495752095522042</v>
      </c>
    </row>
    <row r="7" spans="1:4" x14ac:dyDescent="0.35">
      <c r="A7" s="6" t="s">
        <v>27</v>
      </c>
      <c r="B7" s="3">
        <v>5648180</v>
      </c>
      <c r="C7" s="3">
        <v>1633475.4000000006</v>
      </c>
      <c r="D7" s="26">
        <v>0.24164033981838498</v>
      </c>
    </row>
    <row r="8" spans="1:4" x14ac:dyDescent="0.35">
      <c r="A8" s="6" t="s">
        <v>87</v>
      </c>
      <c r="B8" s="3">
        <v>1186250</v>
      </c>
      <c r="C8" s="3">
        <v>352984.41</v>
      </c>
      <c r="D8" s="26">
        <v>0.2389066889544233</v>
      </c>
    </row>
    <row r="9" spans="1:4" x14ac:dyDescent="0.35">
      <c r="A9" s="6" t="s">
        <v>441</v>
      </c>
      <c r="B9" s="3">
        <v>12952130</v>
      </c>
      <c r="C9" s="3">
        <v>3887231.2099999995</v>
      </c>
      <c r="D9" s="26">
        <v>0.23769896999130444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586E-A680-4CA5-98AD-A580D30DEF4A}">
  <dimension ref="A3:E7"/>
  <sheetViews>
    <sheetView workbookViewId="0">
      <selection activeCell="D4" sqref="D4"/>
    </sheetView>
  </sheetViews>
  <sheetFormatPr defaultRowHeight="14.5" x14ac:dyDescent="0.35"/>
  <cols>
    <col min="1" max="1" width="12.36328125" bestFit="1" customWidth="1"/>
    <col min="2" max="2" width="15.36328125" bestFit="1" customWidth="1"/>
    <col min="3" max="3" width="23.453125" bestFit="1" customWidth="1"/>
    <col min="4" max="4" width="19.7265625" bestFit="1" customWidth="1"/>
    <col min="5" max="5" width="11.81640625" bestFit="1" customWidth="1"/>
  </cols>
  <sheetData>
    <row r="3" spans="1:5" x14ac:dyDescent="0.35">
      <c r="A3" s="5" t="s">
        <v>440</v>
      </c>
      <c r="B3" t="s">
        <v>442</v>
      </c>
      <c r="C3" t="s">
        <v>458</v>
      </c>
      <c r="D3" t="s">
        <v>459</v>
      </c>
      <c r="E3" t="s">
        <v>443</v>
      </c>
    </row>
    <row r="4" spans="1:5" x14ac:dyDescent="0.35">
      <c r="A4" s="6" t="s">
        <v>54</v>
      </c>
      <c r="B4" s="3">
        <v>4487245</v>
      </c>
      <c r="C4" s="26">
        <v>0.2322437272878741</v>
      </c>
      <c r="D4" s="3">
        <v>101</v>
      </c>
      <c r="E4" s="3">
        <v>1303266.8300000005</v>
      </c>
    </row>
    <row r="5" spans="1:5" x14ac:dyDescent="0.35">
      <c r="A5" s="6" t="s">
        <v>33</v>
      </c>
      <c r="B5" s="3">
        <v>4936155</v>
      </c>
      <c r="C5" s="26">
        <v>0.2437053496488531</v>
      </c>
      <c r="D5" s="3">
        <v>103</v>
      </c>
      <c r="E5" s="3">
        <v>1548281.6400000001</v>
      </c>
    </row>
    <row r="6" spans="1:5" x14ac:dyDescent="0.35">
      <c r="A6" s="6" t="s">
        <v>113</v>
      </c>
      <c r="B6" s="3">
        <v>3528730</v>
      </c>
      <c r="C6" s="26">
        <v>0.23699399507796057</v>
      </c>
      <c r="D6" s="3">
        <v>96</v>
      </c>
      <c r="E6" s="3">
        <v>1035682.7400000001</v>
      </c>
    </row>
    <row r="7" spans="1:5" x14ac:dyDescent="0.35">
      <c r="A7" s="6" t="s">
        <v>441</v>
      </c>
      <c r="B7" s="3">
        <v>12952130</v>
      </c>
      <c r="C7" s="26">
        <v>0.23769896999130452</v>
      </c>
      <c r="D7" s="3">
        <v>300</v>
      </c>
      <c r="E7" s="3">
        <v>3887231.209999999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908D-D048-4788-A59A-1F0F30B20FD8}">
  <dimension ref="A3:A4"/>
  <sheetViews>
    <sheetView workbookViewId="0">
      <selection activeCell="A3" sqref="A3"/>
    </sheetView>
  </sheetViews>
  <sheetFormatPr defaultRowHeight="14.5" x14ac:dyDescent="0.35"/>
  <cols>
    <col min="1" max="1" width="16.36328125" bestFit="1" customWidth="1"/>
  </cols>
  <sheetData>
    <row r="3" spans="1:1" x14ac:dyDescent="0.35">
      <c r="A3" t="s">
        <v>465</v>
      </c>
    </row>
    <row r="4" spans="1:1" x14ac:dyDescent="0.35">
      <c r="A4" s="3">
        <v>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AD4F7-6CB9-4190-82DB-323645B67248}">
  <dimension ref="A3:C16"/>
  <sheetViews>
    <sheetView workbookViewId="0">
      <selection activeCell="B11" sqref="B11"/>
    </sheetView>
  </sheetViews>
  <sheetFormatPr defaultRowHeight="14.5" x14ac:dyDescent="0.35"/>
  <cols>
    <col min="1" max="1" width="12.36328125" bestFit="1" customWidth="1"/>
    <col min="2" max="2" width="15.36328125" bestFit="1" customWidth="1"/>
    <col min="3" max="3" width="11.81640625" bestFit="1" customWidth="1"/>
  </cols>
  <sheetData>
    <row r="3" spans="1:3" x14ac:dyDescent="0.35">
      <c r="A3" s="5" t="s">
        <v>440</v>
      </c>
      <c r="B3" t="s">
        <v>442</v>
      </c>
      <c r="C3" t="s">
        <v>443</v>
      </c>
    </row>
    <row r="4" spans="1:3" x14ac:dyDescent="0.35">
      <c r="A4" s="6" t="s">
        <v>444</v>
      </c>
      <c r="B4" s="3">
        <v>798300</v>
      </c>
      <c r="C4" s="3">
        <v>271381.04000000004</v>
      </c>
    </row>
    <row r="5" spans="1:3" x14ac:dyDescent="0.35">
      <c r="A5" s="6" t="s">
        <v>445</v>
      </c>
      <c r="B5" s="3">
        <v>1261905</v>
      </c>
      <c r="C5" s="3">
        <v>450057.49</v>
      </c>
    </row>
    <row r="6" spans="1:3" x14ac:dyDescent="0.35">
      <c r="A6" s="6" t="s">
        <v>446</v>
      </c>
      <c r="B6" s="3">
        <v>944235</v>
      </c>
      <c r="C6" s="3">
        <v>224447.75</v>
      </c>
    </row>
    <row r="7" spans="1:3" x14ac:dyDescent="0.35">
      <c r="A7" s="6" t="s">
        <v>447</v>
      </c>
      <c r="B7" s="3">
        <v>315385</v>
      </c>
      <c r="C7" s="3">
        <v>103679.98000000001</v>
      </c>
    </row>
    <row r="8" spans="1:3" x14ac:dyDescent="0.35">
      <c r="A8" s="6" t="s">
        <v>448</v>
      </c>
      <c r="B8" s="3">
        <v>1651290</v>
      </c>
      <c r="C8" s="3">
        <v>510085.60000000003</v>
      </c>
    </row>
    <row r="9" spans="1:3" x14ac:dyDescent="0.35">
      <c r="A9" s="6" t="s">
        <v>449</v>
      </c>
      <c r="B9" s="3">
        <v>957265</v>
      </c>
      <c r="C9" s="3">
        <v>245222.13</v>
      </c>
    </row>
    <row r="10" spans="1:3" x14ac:dyDescent="0.35">
      <c r="A10" s="6" t="s">
        <v>450</v>
      </c>
      <c r="B10" s="3">
        <v>1333680</v>
      </c>
      <c r="C10" s="3">
        <v>427587</v>
      </c>
    </row>
    <row r="11" spans="1:3" x14ac:dyDescent="0.35">
      <c r="A11" s="6" t="s">
        <v>451</v>
      </c>
      <c r="B11" s="3">
        <v>1200335</v>
      </c>
      <c r="C11" s="3">
        <v>335177.32</v>
      </c>
    </row>
    <row r="12" spans="1:3" x14ac:dyDescent="0.35">
      <c r="A12" s="6" t="s">
        <v>452</v>
      </c>
      <c r="B12" s="3">
        <v>955595</v>
      </c>
      <c r="C12" s="3">
        <v>305000.31999999995</v>
      </c>
    </row>
    <row r="13" spans="1:3" x14ac:dyDescent="0.35">
      <c r="A13" s="6" t="s">
        <v>453</v>
      </c>
      <c r="B13" s="3">
        <v>790970</v>
      </c>
      <c r="C13" s="3">
        <v>235003.38999999996</v>
      </c>
    </row>
    <row r="14" spans="1:3" x14ac:dyDescent="0.35">
      <c r="A14" s="6" t="s">
        <v>454</v>
      </c>
      <c r="B14" s="3">
        <v>1234280</v>
      </c>
      <c r="C14" s="3">
        <v>361672.17</v>
      </c>
    </row>
    <row r="15" spans="1:3" x14ac:dyDescent="0.35">
      <c r="A15" s="6" t="s">
        <v>455</v>
      </c>
      <c r="B15" s="3">
        <v>1508890</v>
      </c>
      <c r="C15" s="3">
        <v>417917.02</v>
      </c>
    </row>
    <row r="16" spans="1:3" x14ac:dyDescent="0.35">
      <c r="A16" s="6" t="s">
        <v>441</v>
      </c>
      <c r="B16" s="3">
        <v>12952130</v>
      </c>
      <c r="C16" s="3">
        <v>3887231.21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E0CA-D2F3-4AF2-AAE6-592E6ECB1254}">
  <dimension ref="A3:B7"/>
  <sheetViews>
    <sheetView workbookViewId="0">
      <selection activeCell="A4" sqref="A4"/>
    </sheetView>
  </sheetViews>
  <sheetFormatPr defaultRowHeight="14.5" x14ac:dyDescent="0.35"/>
  <cols>
    <col min="1" max="1" width="12.36328125" bestFit="1" customWidth="1"/>
    <col min="2" max="2" width="15.36328125" bestFit="1" customWidth="1"/>
    <col min="3" max="3" width="11.81640625" bestFit="1" customWidth="1"/>
    <col min="4" max="4" width="16.36328125" bestFit="1" customWidth="1"/>
  </cols>
  <sheetData>
    <row r="3" spans="1:2" x14ac:dyDescent="0.35">
      <c r="A3" s="5" t="s">
        <v>440</v>
      </c>
      <c r="B3" t="s">
        <v>442</v>
      </c>
    </row>
    <row r="4" spans="1:2" x14ac:dyDescent="0.35">
      <c r="A4" s="6" t="s">
        <v>45</v>
      </c>
      <c r="B4" s="3">
        <v>1085530</v>
      </c>
    </row>
    <row r="5" spans="1:2" x14ac:dyDescent="0.35">
      <c r="A5" s="6" t="s">
        <v>31</v>
      </c>
      <c r="B5" s="3">
        <v>9192325</v>
      </c>
    </row>
    <row r="6" spans="1:2" x14ac:dyDescent="0.35">
      <c r="A6" s="6" t="s">
        <v>101</v>
      </c>
      <c r="B6" s="3">
        <v>2674275</v>
      </c>
    </row>
    <row r="7" spans="1:2" x14ac:dyDescent="0.35">
      <c r="A7" s="6" t="s">
        <v>441</v>
      </c>
      <c r="B7" s="3">
        <v>12952130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ECA2-C8FE-4C36-AD82-BF036AFC8CC9}">
  <dimension ref="A3:B7"/>
  <sheetViews>
    <sheetView workbookViewId="0">
      <selection activeCell="J20" sqref="J20"/>
    </sheetView>
  </sheetViews>
  <sheetFormatPr defaultRowHeight="14.5" x14ac:dyDescent="0.35"/>
  <cols>
    <col min="1" max="1" width="12.36328125" bestFit="1" customWidth="1"/>
    <col min="2" max="2" width="15.36328125" bestFit="1" customWidth="1"/>
  </cols>
  <sheetData>
    <row r="3" spans="1:2" x14ac:dyDescent="0.35">
      <c r="A3" s="5" t="s">
        <v>440</v>
      </c>
      <c r="B3" t="s">
        <v>442</v>
      </c>
    </row>
    <row r="4" spans="1:2" x14ac:dyDescent="0.35">
      <c r="A4" s="6" t="s">
        <v>54</v>
      </c>
      <c r="B4" s="3">
        <v>4487245</v>
      </c>
    </row>
    <row r="5" spans="1:2" x14ac:dyDescent="0.35">
      <c r="A5" s="6" t="s">
        <v>33</v>
      </c>
      <c r="B5" s="3">
        <v>4936155</v>
      </c>
    </row>
    <row r="6" spans="1:2" x14ac:dyDescent="0.35">
      <c r="A6" s="6" t="s">
        <v>113</v>
      </c>
      <c r="B6" s="3">
        <v>3528730</v>
      </c>
    </row>
    <row r="7" spans="1:2" x14ac:dyDescent="0.35">
      <c r="A7" s="6" t="s">
        <v>441</v>
      </c>
      <c r="B7" s="3">
        <v>12952130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56C17-82AF-49F4-9366-9C3FAAE55336}">
  <dimension ref="A3:A4"/>
  <sheetViews>
    <sheetView workbookViewId="0">
      <selection activeCell="A3" sqref="A3"/>
    </sheetView>
  </sheetViews>
  <sheetFormatPr defaultRowHeight="14.5" x14ac:dyDescent="0.35"/>
  <cols>
    <col min="1" max="1" width="20.26953125" bestFit="1" customWidth="1"/>
  </cols>
  <sheetData>
    <row r="3" spans="1:1" x14ac:dyDescent="0.35">
      <c r="A3" t="s">
        <v>457</v>
      </c>
    </row>
    <row r="4" spans="1:1" x14ac:dyDescent="0.35">
      <c r="A4" s="26">
        <v>71.309690997391343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1"/>
  <sheetViews>
    <sheetView topLeftCell="H1" workbookViewId="0">
      <pane ySplit="1" topLeftCell="A24" activePane="bottomLeft" state="frozen"/>
      <selection pane="bottomLeft" activeCell="Z5" sqref="Z5"/>
    </sheetView>
  </sheetViews>
  <sheetFormatPr defaultRowHeight="14.5" x14ac:dyDescent="0.35"/>
  <cols>
    <col min="1" max="1" width="12" customWidth="1"/>
    <col min="2" max="2" width="12.7265625" style="2" customWidth="1"/>
    <col min="3" max="3" width="13.81640625" customWidth="1"/>
    <col min="4" max="4" width="16.90625" customWidth="1"/>
    <col min="5" max="5" width="20" customWidth="1"/>
    <col min="6" max="6" width="12" customWidth="1"/>
    <col min="7" max="7" width="19.26953125" customWidth="1"/>
    <col min="8" max="8" width="12.26953125" customWidth="1"/>
    <col min="9" max="9" width="21" customWidth="1"/>
    <col min="10" max="10" width="13" customWidth="1"/>
    <col min="11" max="11" width="17" customWidth="1"/>
    <col min="12" max="12" width="12" style="3" customWidth="1"/>
    <col min="13" max="13" width="12" customWidth="1"/>
    <col min="14" max="14" width="12.6328125" customWidth="1"/>
    <col min="15" max="15" width="13" customWidth="1"/>
    <col min="16" max="16" width="18" customWidth="1"/>
    <col min="17" max="19" width="12" customWidth="1"/>
    <col min="20" max="20" width="15.81640625" style="7" customWidth="1"/>
    <col min="21" max="21" width="15" customWidth="1"/>
    <col min="22" max="22" width="12" customWidth="1"/>
    <col min="23" max="23" width="18" customWidth="1"/>
    <col min="24" max="24" width="14" customWidth="1"/>
  </cols>
  <sheetData>
    <row r="1" spans="1:26" x14ac:dyDescent="0.35">
      <c r="A1" s="22" t="s">
        <v>0</v>
      </c>
      <c r="B1" s="23" t="s">
        <v>1</v>
      </c>
      <c r="C1" s="22" t="s">
        <v>2</v>
      </c>
      <c r="D1" s="22" t="s">
        <v>3</v>
      </c>
      <c r="E1" s="22" t="s">
        <v>4</v>
      </c>
      <c r="F1" s="22" t="s">
        <v>5</v>
      </c>
      <c r="G1" s="22" t="s">
        <v>6</v>
      </c>
      <c r="H1" s="22" t="s">
        <v>7</v>
      </c>
      <c r="I1" s="22" t="s">
        <v>8</v>
      </c>
      <c r="J1" s="22" t="s">
        <v>9</v>
      </c>
      <c r="K1" s="22" t="s">
        <v>10</v>
      </c>
      <c r="L1" s="24" t="s">
        <v>11</v>
      </c>
      <c r="M1" s="22" t="s">
        <v>12</v>
      </c>
      <c r="N1" s="22" t="s">
        <v>13</v>
      </c>
      <c r="O1" s="22" t="s">
        <v>14</v>
      </c>
      <c r="P1" s="22" t="s">
        <v>15</v>
      </c>
      <c r="Q1" s="22" t="s">
        <v>16</v>
      </c>
      <c r="R1" s="22" t="s">
        <v>17</v>
      </c>
      <c r="S1" s="22" t="s">
        <v>18</v>
      </c>
      <c r="T1" s="25" t="s">
        <v>456</v>
      </c>
      <c r="U1" s="22" t="s">
        <v>19</v>
      </c>
      <c r="V1" s="22" t="s">
        <v>20</v>
      </c>
      <c r="W1" s="22" t="s">
        <v>21</v>
      </c>
      <c r="X1" s="22" t="s">
        <v>22</v>
      </c>
    </row>
    <row r="2" spans="1:26" x14ac:dyDescent="0.35">
      <c r="A2" s="8" t="s">
        <v>189</v>
      </c>
      <c r="B2" s="9">
        <v>45658</v>
      </c>
      <c r="C2" s="10" t="s">
        <v>94</v>
      </c>
      <c r="D2" s="10" t="s">
        <v>95</v>
      </c>
      <c r="E2" s="10" t="s">
        <v>96</v>
      </c>
      <c r="F2" s="10" t="s">
        <v>60</v>
      </c>
      <c r="G2" s="10" t="s">
        <v>97</v>
      </c>
      <c r="H2" s="10" t="s">
        <v>110</v>
      </c>
      <c r="I2" s="10" t="s">
        <v>111</v>
      </c>
      <c r="J2" s="10" t="s">
        <v>101</v>
      </c>
      <c r="K2" s="10" t="s">
        <v>112</v>
      </c>
      <c r="L2" s="11">
        <v>5</v>
      </c>
      <c r="M2" s="10">
        <v>22000</v>
      </c>
      <c r="N2" s="10">
        <v>0.05</v>
      </c>
      <c r="O2" s="10">
        <v>110000</v>
      </c>
      <c r="P2" s="10">
        <v>5500</v>
      </c>
      <c r="Q2" s="10">
        <v>-104500</v>
      </c>
      <c r="R2" s="10">
        <v>65881.38</v>
      </c>
      <c r="S2" s="10">
        <v>-38618.620000000003</v>
      </c>
      <c r="T2" s="12">
        <f>IFERROR(Raw_Data!$S2/Raw_Data!$Q2,0)</f>
        <v>0.36955617224880383</v>
      </c>
      <c r="U2" s="10" t="s">
        <v>33</v>
      </c>
      <c r="V2" s="10" t="s">
        <v>34</v>
      </c>
      <c r="W2" s="10" t="s">
        <v>65</v>
      </c>
      <c r="X2" s="10" t="s">
        <v>49</v>
      </c>
    </row>
    <row r="3" spans="1:26" x14ac:dyDescent="0.35">
      <c r="A3" s="13" t="s">
        <v>403</v>
      </c>
      <c r="B3" s="14">
        <v>45661</v>
      </c>
      <c r="C3" s="4" t="s">
        <v>127</v>
      </c>
      <c r="D3" s="4" t="s">
        <v>128</v>
      </c>
      <c r="E3" s="4" t="s">
        <v>129</v>
      </c>
      <c r="F3" s="4" t="s">
        <v>27</v>
      </c>
      <c r="G3" s="4" t="s">
        <v>28</v>
      </c>
      <c r="H3" s="4" t="s">
        <v>29</v>
      </c>
      <c r="I3" s="4" t="s">
        <v>30</v>
      </c>
      <c r="J3" s="4" t="s">
        <v>31</v>
      </c>
      <c r="K3" s="4" t="s">
        <v>32</v>
      </c>
      <c r="L3" s="15">
        <v>7</v>
      </c>
      <c r="M3" s="4">
        <v>78000</v>
      </c>
      <c r="N3" s="4">
        <v>0</v>
      </c>
      <c r="O3" s="4">
        <v>546000</v>
      </c>
      <c r="P3" s="4">
        <v>0</v>
      </c>
      <c r="Q3" s="4">
        <v>0</v>
      </c>
      <c r="R3" s="4">
        <v>318871.78999999998</v>
      </c>
      <c r="S3" s="4">
        <v>0</v>
      </c>
      <c r="T3" s="16">
        <f>IFERROR(Raw_Data!$S3/Raw_Data!$Q3,0)</f>
        <v>0</v>
      </c>
      <c r="U3" s="4" t="s">
        <v>113</v>
      </c>
      <c r="V3" s="4" t="s">
        <v>70</v>
      </c>
      <c r="W3" s="4" t="s">
        <v>65</v>
      </c>
      <c r="X3" s="4" t="s">
        <v>75</v>
      </c>
    </row>
    <row r="4" spans="1:26" x14ac:dyDescent="0.35">
      <c r="A4" s="17" t="s">
        <v>367</v>
      </c>
      <c r="B4" s="18">
        <v>45662</v>
      </c>
      <c r="C4" s="19" t="s">
        <v>131</v>
      </c>
      <c r="D4" s="19" t="s">
        <v>132</v>
      </c>
      <c r="E4" s="19" t="s">
        <v>133</v>
      </c>
      <c r="F4" s="19" t="s">
        <v>27</v>
      </c>
      <c r="G4" s="19" t="s">
        <v>28</v>
      </c>
      <c r="H4" s="19" t="s">
        <v>29</v>
      </c>
      <c r="I4" s="19" t="s">
        <v>30</v>
      </c>
      <c r="J4" s="19" t="s">
        <v>31</v>
      </c>
      <c r="K4" s="19" t="s">
        <v>32</v>
      </c>
      <c r="L4" s="20">
        <v>5</v>
      </c>
      <c r="M4" s="19">
        <v>78000</v>
      </c>
      <c r="N4" s="19">
        <v>0.15</v>
      </c>
      <c r="O4" s="19">
        <v>390000</v>
      </c>
      <c r="P4" s="19">
        <v>58500</v>
      </c>
      <c r="Q4" s="19">
        <v>331500</v>
      </c>
      <c r="R4" s="19">
        <v>240227.41</v>
      </c>
      <c r="S4" s="19">
        <v>91272.59</v>
      </c>
      <c r="T4" s="21">
        <f>IFERROR(Raw_Data!$S4/Raw_Data!$Q4,0)</f>
        <v>0.27533209653092006</v>
      </c>
      <c r="U4" s="19" t="s">
        <v>113</v>
      </c>
      <c r="V4" s="19" t="s">
        <v>139</v>
      </c>
      <c r="W4" s="19" t="s">
        <v>55</v>
      </c>
      <c r="X4" s="19" t="s">
        <v>36</v>
      </c>
      <c r="Z4">
        <f>(SUM(Table5[Profit])/SUM(Table5[Net_Sales]))*100</f>
        <v>30.012293035971688</v>
      </c>
    </row>
    <row r="5" spans="1:26" x14ac:dyDescent="0.35">
      <c r="A5" s="13" t="s">
        <v>237</v>
      </c>
      <c r="B5" s="14">
        <v>45665</v>
      </c>
      <c r="C5" s="4" t="s">
        <v>131</v>
      </c>
      <c r="D5" s="4" t="s">
        <v>132</v>
      </c>
      <c r="E5" s="4" t="s">
        <v>133</v>
      </c>
      <c r="F5" s="4" t="s">
        <v>27</v>
      </c>
      <c r="G5" s="4" t="s">
        <v>28</v>
      </c>
      <c r="H5" s="4" t="s">
        <v>110</v>
      </c>
      <c r="I5" s="4" t="s">
        <v>111</v>
      </c>
      <c r="J5" s="4" t="s">
        <v>101</v>
      </c>
      <c r="K5" s="4" t="s">
        <v>112</v>
      </c>
      <c r="L5" s="15">
        <v>7</v>
      </c>
      <c r="M5" s="4">
        <v>22000</v>
      </c>
      <c r="N5" s="4">
        <v>0</v>
      </c>
      <c r="O5" s="4">
        <v>154000</v>
      </c>
      <c r="P5" s="4">
        <v>0</v>
      </c>
      <c r="Q5" s="4">
        <v>154000</v>
      </c>
      <c r="R5" s="4">
        <v>97624.94</v>
      </c>
      <c r="S5" s="4">
        <v>56375.06</v>
      </c>
      <c r="T5" s="16">
        <f>IFERROR(Raw_Data!$S5/Raw_Data!$Q5,0)</f>
        <v>0.36607181818181816</v>
      </c>
      <c r="U5" s="4" t="s">
        <v>113</v>
      </c>
      <c r="V5" s="4" t="s">
        <v>47</v>
      </c>
      <c r="W5" s="4" t="s">
        <v>48</v>
      </c>
      <c r="X5" s="4" t="s">
        <v>36</v>
      </c>
    </row>
    <row r="6" spans="1:26" x14ac:dyDescent="0.35">
      <c r="A6" s="17" t="s">
        <v>369</v>
      </c>
      <c r="B6" s="18">
        <v>45665</v>
      </c>
      <c r="C6" s="19" t="s">
        <v>170</v>
      </c>
      <c r="D6" s="19" t="s">
        <v>171</v>
      </c>
      <c r="E6" s="19" t="s">
        <v>172</v>
      </c>
      <c r="F6" s="19" t="s">
        <v>27</v>
      </c>
      <c r="G6" s="19" t="s">
        <v>97</v>
      </c>
      <c r="H6" s="19" t="s">
        <v>118</v>
      </c>
      <c r="I6" s="19" t="s">
        <v>119</v>
      </c>
      <c r="J6" s="19" t="s">
        <v>31</v>
      </c>
      <c r="K6" s="19" t="s">
        <v>120</v>
      </c>
      <c r="L6" s="20">
        <v>6</v>
      </c>
      <c r="M6" s="19">
        <v>14500</v>
      </c>
      <c r="N6" s="19">
        <v>0.05</v>
      </c>
      <c r="O6" s="19">
        <v>87000</v>
      </c>
      <c r="P6" s="19">
        <v>4350</v>
      </c>
      <c r="Q6" s="19">
        <v>82650</v>
      </c>
      <c r="R6" s="19">
        <v>59199.51</v>
      </c>
      <c r="S6" s="19">
        <v>23450.49</v>
      </c>
      <c r="T6" s="21">
        <f>IFERROR(Raw_Data!$S6/Raw_Data!$Q6,0)</f>
        <v>0.28373248638838477</v>
      </c>
      <c r="U6" s="19" t="s">
        <v>54</v>
      </c>
      <c r="V6" s="19" t="s">
        <v>70</v>
      </c>
      <c r="W6" s="19" t="s">
        <v>55</v>
      </c>
      <c r="X6" s="19" t="s">
        <v>36</v>
      </c>
    </row>
    <row r="7" spans="1:26" x14ac:dyDescent="0.35">
      <c r="A7" s="13" t="s">
        <v>410</v>
      </c>
      <c r="B7" s="14">
        <v>45666</v>
      </c>
      <c r="C7" s="4" t="s">
        <v>105</v>
      </c>
      <c r="D7" s="4" t="s">
        <v>106</v>
      </c>
      <c r="E7" s="4" t="s">
        <v>107</v>
      </c>
      <c r="F7" s="4" t="s">
        <v>108</v>
      </c>
      <c r="G7" s="4" t="s">
        <v>28</v>
      </c>
      <c r="H7" s="4" t="s">
        <v>72</v>
      </c>
      <c r="I7" s="4" t="s">
        <v>73</v>
      </c>
      <c r="J7" s="4" t="s">
        <v>45</v>
      </c>
      <c r="K7" s="4" t="s">
        <v>74</v>
      </c>
      <c r="L7" s="15">
        <v>4</v>
      </c>
      <c r="M7" s="4">
        <v>4200</v>
      </c>
      <c r="N7" s="4">
        <v>0.15</v>
      </c>
      <c r="O7" s="4">
        <v>16800</v>
      </c>
      <c r="P7" s="4">
        <v>2520</v>
      </c>
      <c r="Q7" s="4">
        <v>0</v>
      </c>
      <c r="R7" s="4">
        <v>8776.57</v>
      </c>
      <c r="S7" s="4">
        <v>0</v>
      </c>
      <c r="T7" s="16">
        <f>IFERROR(Raw_Data!$S7/Raw_Data!$Q7,0)</f>
        <v>0</v>
      </c>
      <c r="U7" s="4" t="s">
        <v>113</v>
      </c>
      <c r="V7" s="4" t="s">
        <v>47</v>
      </c>
      <c r="W7" s="4" t="s">
        <v>65</v>
      </c>
      <c r="X7" s="4" t="s">
        <v>75</v>
      </c>
    </row>
    <row r="8" spans="1:26" x14ac:dyDescent="0.35">
      <c r="A8" s="17" t="s">
        <v>287</v>
      </c>
      <c r="B8" s="18">
        <v>45667</v>
      </c>
      <c r="C8" s="19" t="s">
        <v>146</v>
      </c>
      <c r="D8" s="19" t="s">
        <v>147</v>
      </c>
      <c r="E8" s="19" t="s">
        <v>148</v>
      </c>
      <c r="F8" s="19" t="s">
        <v>87</v>
      </c>
      <c r="G8" s="19" t="s">
        <v>28</v>
      </c>
      <c r="H8" s="19" t="s">
        <v>43</v>
      </c>
      <c r="I8" s="19" t="s">
        <v>44</v>
      </c>
      <c r="J8" s="19" t="s">
        <v>45</v>
      </c>
      <c r="K8" s="19" t="s">
        <v>46</v>
      </c>
      <c r="L8" s="20">
        <v>8</v>
      </c>
      <c r="M8" s="19">
        <v>8900</v>
      </c>
      <c r="N8" s="19">
        <v>0</v>
      </c>
      <c r="O8" s="19">
        <v>71200</v>
      </c>
      <c r="P8" s="19">
        <v>0</v>
      </c>
      <c r="Q8" s="19">
        <v>-71200</v>
      </c>
      <c r="R8" s="19">
        <v>56027.74</v>
      </c>
      <c r="S8" s="19">
        <v>-15172.26</v>
      </c>
      <c r="T8" s="21">
        <f>IFERROR(Raw_Data!$S8/Raw_Data!$Q8,0)</f>
        <v>0.21309353932584271</v>
      </c>
      <c r="U8" s="19" t="s">
        <v>113</v>
      </c>
      <c r="V8" s="19" t="s">
        <v>70</v>
      </c>
      <c r="W8" s="19" t="s">
        <v>55</v>
      </c>
      <c r="X8" s="19" t="s">
        <v>49</v>
      </c>
    </row>
    <row r="9" spans="1:26" x14ac:dyDescent="0.35">
      <c r="A9" s="13" t="s">
        <v>134</v>
      </c>
      <c r="B9" s="14">
        <v>45668</v>
      </c>
      <c r="C9" s="4" t="s">
        <v>135</v>
      </c>
      <c r="D9" s="4" t="s">
        <v>136</v>
      </c>
      <c r="E9" s="4" t="s">
        <v>137</v>
      </c>
      <c r="F9" s="4" t="s">
        <v>27</v>
      </c>
      <c r="G9" s="4" t="s">
        <v>97</v>
      </c>
      <c r="H9" s="4" t="s">
        <v>72</v>
      </c>
      <c r="I9" s="4" t="s">
        <v>73</v>
      </c>
      <c r="J9" s="4" t="s">
        <v>45</v>
      </c>
      <c r="K9" s="4" t="s">
        <v>74</v>
      </c>
      <c r="L9" s="15">
        <v>4</v>
      </c>
      <c r="M9" s="4">
        <v>4200</v>
      </c>
      <c r="N9" s="4">
        <v>0.15</v>
      </c>
      <c r="O9" s="4">
        <v>16800</v>
      </c>
      <c r="P9" s="4">
        <v>2520</v>
      </c>
      <c r="Q9" s="4">
        <v>14280</v>
      </c>
      <c r="R9" s="4">
        <v>9037.1299999999992</v>
      </c>
      <c r="S9" s="4">
        <v>5242.87</v>
      </c>
      <c r="T9" s="16">
        <f>IFERROR(Raw_Data!$S9/Raw_Data!$Q9,0)</f>
        <v>0.36714775910364145</v>
      </c>
      <c r="U9" s="4" t="s">
        <v>33</v>
      </c>
      <c r="V9" s="4" t="s">
        <v>34</v>
      </c>
      <c r="W9" s="4" t="s">
        <v>35</v>
      </c>
      <c r="X9" s="4" t="s">
        <v>36</v>
      </c>
    </row>
    <row r="10" spans="1:26" x14ac:dyDescent="0.35">
      <c r="A10" s="17" t="s">
        <v>192</v>
      </c>
      <c r="B10" s="18">
        <v>45670</v>
      </c>
      <c r="C10" s="19" t="s">
        <v>84</v>
      </c>
      <c r="D10" s="19" t="s">
        <v>85</v>
      </c>
      <c r="E10" s="19" t="s">
        <v>86</v>
      </c>
      <c r="F10" s="19" t="s">
        <v>87</v>
      </c>
      <c r="G10" s="19" t="s">
        <v>42</v>
      </c>
      <c r="H10" s="19" t="s">
        <v>118</v>
      </c>
      <c r="I10" s="19" t="s">
        <v>119</v>
      </c>
      <c r="J10" s="19" t="s">
        <v>31</v>
      </c>
      <c r="K10" s="19" t="s">
        <v>120</v>
      </c>
      <c r="L10" s="20">
        <v>1</v>
      </c>
      <c r="M10" s="19">
        <v>14500</v>
      </c>
      <c r="N10" s="19">
        <v>0</v>
      </c>
      <c r="O10" s="19">
        <v>14500</v>
      </c>
      <c r="P10" s="19">
        <v>0</v>
      </c>
      <c r="Q10" s="19">
        <v>-14500</v>
      </c>
      <c r="R10" s="19">
        <v>11834.1</v>
      </c>
      <c r="S10" s="19">
        <v>-2665.9</v>
      </c>
      <c r="T10" s="21">
        <f>IFERROR(Raw_Data!$S10/Raw_Data!$Q10,0)</f>
        <v>0.18385517241379312</v>
      </c>
      <c r="U10" s="19" t="s">
        <v>54</v>
      </c>
      <c r="V10" s="19" t="s">
        <v>139</v>
      </c>
      <c r="W10" s="19" t="s">
        <v>55</v>
      </c>
      <c r="X10" s="19" t="s">
        <v>49</v>
      </c>
    </row>
    <row r="11" spans="1:26" x14ac:dyDescent="0.35">
      <c r="A11" s="13" t="s">
        <v>279</v>
      </c>
      <c r="B11" s="14">
        <v>45672</v>
      </c>
      <c r="C11" s="4" t="s">
        <v>67</v>
      </c>
      <c r="D11" s="4" t="s">
        <v>68</v>
      </c>
      <c r="E11" s="4" t="s">
        <v>69</v>
      </c>
      <c r="F11" s="4" t="s">
        <v>41</v>
      </c>
      <c r="G11" s="4" t="s">
        <v>28</v>
      </c>
      <c r="H11" s="4" t="s">
        <v>61</v>
      </c>
      <c r="I11" s="4" t="s">
        <v>62</v>
      </c>
      <c r="J11" s="4" t="s">
        <v>45</v>
      </c>
      <c r="K11" s="4" t="s">
        <v>63</v>
      </c>
      <c r="L11" s="15">
        <v>3</v>
      </c>
      <c r="M11" s="4">
        <v>1800</v>
      </c>
      <c r="N11" s="4">
        <v>0.05</v>
      </c>
      <c r="O11" s="4">
        <v>5400</v>
      </c>
      <c r="P11" s="4">
        <v>270</v>
      </c>
      <c r="Q11" s="4">
        <v>5130</v>
      </c>
      <c r="R11" s="4">
        <v>3840.56</v>
      </c>
      <c r="S11" s="4">
        <v>1289.44</v>
      </c>
      <c r="T11" s="16">
        <f>IFERROR(Raw_Data!$S11/Raw_Data!$Q11,0)</f>
        <v>0.25135282651072127</v>
      </c>
      <c r="U11" s="4" t="s">
        <v>113</v>
      </c>
      <c r="V11" s="4" t="s">
        <v>64</v>
      </c>
      <c r="W11" s="4" t="s">
        <v>35</v>
      </c>
      <c r="X11" s="4" t="s">
        <v>36</v>
      </c>
    </row>
    <row r="12" spans="1:26" x14ac:dyDescent="0.35">
      <c r="A12" s="17" t="s">
        <v>37</v>
      </c>
      <c r="B12" s="18">
        <v>45674</v>
      </c>
      <c r="C12" s="19" t="s">
        <v>38</v>
      </c>
      <c r="D12" s="19" t="s">
        <v>39</v>
      </c>
      <c r="E12" s="19" t="s">
        <v>40</v>
      </c>
      <c r="F12" s="19" t="s">
        <v>41</v>
      </c>
      <c r="G12" s="19" t="s">
        <v>42</v>
      </c>
      <c r="H12" s="19" t="s">
        <v>43</v>
      </c>
      <c r="I12" s="19" t="s">
        <v>44</v>
      </c>
      <c r="J12" s="19" t="s">
        <v>45</v>
      </c>
      <c r="K12" s="19" t="s">
        <v>46</v>
      </c>
      <c r="L12" s="20">
        <v>1</v>
      </c>
      <c r="M12" s="19">
        <v>8900</v>
      </c>
      <c r="N12" s="19">
        <v>0</v>
      </c>
      <c r="O12" s="19">
        <v>8900</v>
      </c>
      <c r="P12" s="19">
        <v>0</v>
      </c>
      <c r="Q12" s="19">
        <v>-8900</v>
      </c>
      <c r="R12" s="19">
        <v>5629.01</v>
      </c>
      <c r="S12" s="19">
        <v>-3270.99</v>
      </c>
      <c r="T12" s="21">
        <f>IFERROR(Raw_Data!$S12/Raw_Data!$Q12,0)</f>
        <v>0.36752696629213483</v>
      </c>
      <c r="U12" s="19" t="s">
        <v>33</v>
      </c>
      <c r="V12" s="19" t="s">
        <v>47</v>
      </c>
      <c r="W12" s="19" t="s">
        <v>48</v>
      </c>
      <c r="X12" s="19" t="s">
        <v>49</v>
      </c>
    </row>
    <row r="13" spans="1:26" x14ac:dyDescent="0.35">
      <c r="A13" s="13" t="s">
        <v>138</v>
      </c>
      <c r="B13" s="14">
        <v>45674</v>
      </c>
      <c r="C13" s="4" t="s">
        <v>77</v>
      </c>
      <c r="D13" s="4" t="s">
        <v>78</v>
      </c>
      <c r="E13" s="4" t="s">
        <v>79</v>
      </c>
      <c r="F13" s="4" t="s">
        <v>60</v>
      </c>
      <c r="G13" s="4" t="s">
        <v>28</v>
      </c>
      <c r="H13" s="4" t="s">
        <v>80</v>
      </c>
      <c r="I13" s="4" t="s">
        <v>81</v>
      </c>
      <c r="J13" s="4" t="s">
        <v>31</v>
      </c>
      <c r="K13" s="4" t="s">
        <v>82</v>
      </c>
      <c r="L13" s="15">
        <v>6</v>
      </c>
      <c r="M13" s="4">
        <v>62000</v>
      </c>
      <c r="N13" s="4">
        <v>0</v>
      </c>
      <c r="O13" s="4">
        <v>372000</v>
      </c>
      <c r="P13" s="4">
        <v>0</v>
      </c>
      <c r="Q13" s="4">
        <v>372000</v>
      </c>
      <c r="R13" s="4">
        <v>261663.86</v>
      </c>
      <c r="S13" s="4">
        <v>110336.14</v>
      </c>
      <c r="T13" s="16">
        <f>IFERROR(Raw_Data!$S13/Raw_Data!$Q13,0)</f>
        <v>0.29660252688172045</v>
      </c>
      <c r="U13" s="4" t="s">
        <v>33</v>
      </c>
      <c r="V13" s="4" t="s">
        <v>139</v>
      </c>
      <c r="W13" s="4" t="s">
        <v>48</v>
      </c>
      <c r="X13" s="4" t="s">
        <v>36</v>
      </c>
    </row>
    <row r="14" spans="1:26" x14ac:dyDescent="0.35">
      <c r="A14" s="17" t="s">
        <v>327</v>
      </c>
      <c r="B14" s="18">
        <v>45674</v>
      </c>
      <c r="C14" s="19" t="s">
        <v>94</v>
      </c>
      <c r="D14" s="19" t="s">
        <v>95</v>
      </c>
      <c r="E14" s="19" t="s">
        <v>96</v>
      </c>
      <c r="F14" s="19" t="s">
        <v>60</v>
      </c>
      <c r="G14" s="19" t="s">
        <v>97</v>
      </c>
      <c r="H14" s="19" t="s">
        <v>162</v>
      </c>
      <c r="I14" s="19" t="s">
        <v>163</v>
      </c>
      <c r="J14" s="19" t="s">
        <v>31</v>
      </c>
      <c r="K14" s="19" t="s">
        <v>164</v>
      </c>
      <c r="L14" s="20">
        <v>3</v>
      </c>
      <c r="M14" s="19">
        <v>16500</v>
      </c>
      <c r="N14" s="19">
        <v>0.2</v>
      </c>
      <c r="O14" s="19">
        <v>49500</v>
      </c>
      <c r="P14" s="19">
        <v>9900</v>
      </c>
      <c r="Q14" s="19">
        <v>39600</v>
      </c>
      <c r="R14" s="19">
        <v>27244.06</v>
      </c>
      <c r="S14" s="19">
        <v>12355.94</v>
      </c>
      <c r="T14" s="21">
        <f>IFERROR(Raw_Data!$S14/Raw_Data!$Q14,0)</f>
        <v>0.31201868686868689</v>
      </c>
      <c r="U14" s="19" t="s">
        <v>113</v>
      </c>
      <c r="V14" s="19" t="s">
        <v>139</v>
      </c>
      <c r="W14" s="19" t="s">
        <v>35</v>
      </c>
      <c r="X14" s="19" t="s">
        <v>36</v>
      </c>
    </row>
    <row r="15" spans="1:26" x14ac:dyDescent="0.35">
      <c r="A15" s="13" t="s">
        <v>356</v>
      </c>
      <c r="B15" s="14">
        <v>45674</v>
      </c>
      <c r="C15" s="4" t="s">
        <v>122</v>
      </c>
      <c r="D15" s="4" t="s">
        <v>123</v>
      </c>
      <c r="E15" s="4" t="s">
        <v>124</v>
      </c>
      <c r="F15" s="4" t="s">
        <v>87</v>
      </c>
      <c r="G15" s="4" t="s">
        <v>42</v>
      </c>
      <c r="H15" s="4" t="s">
        <v>151</v>
      </c>
      <c r="I15" s="4" t="s">
        <v>152</v>
      </c>
      <c r="J15" s="4" t="s">
        <v>45</v>
      </c>
      <c r="K15" s="4" t="s">
        <v>153</v>
      </c>
      <c r="L15" s="15">
        <v>2</v>
      </c>
      <c r="M15" s="4">
        <v>3200</v>
      </c>
      <c r="N15" s="4">
        <v>0</v>
      </c>
      <c r="O15" s="4">
        <v>6400</v>
      </c>
      <c r="P15" s="4">
        <v>0</v>
      </c>
      <c r="Q15" s="4">
        <v>6400</v>
      </c>
      <c r="R15" s="4">
        <v>3741.09</v>
      </c>
      <c r="S15" s="4">
        <v>2658.91</v>
      </c>
      <c r="T15" s="16">
        <f>IFERROR(Raw_Data!$S15/Raw_Data!$Q15,0)</f>
        <v>0.41545468749999998</v>
      </c>
      <c r="U15" s="4" t="s">
        <v>113</v>
      </c>
      <c r="V15" s="4" t="s">
        <v>88</v>
      </c>
      <c r="W15" s="4" t="s">
        <v>55</v>
      </c>
      <c r="X15" s="4" t="s">
        <v>36</v>
      </c>
    </row>
    <row r="16" spans="1:26" x14ac:dyDescent="0.35">
      <c r="A16" s="17" t="s">
        <v>380</v>
      </c>
      <c r="B16" s="18">
        <v>45674</v>
      </c>
      <c r="C16" s="19" t="s">
        <v>135</v>
      </c>
      <c r="D16" s="19" t="s">
        <v>136</v>
      </c>
      <c r="E16" s="19" t="s">
        <v>137</v>
      </c>
      <c r="F16" s="19" t="s">
        <v>27</v>
      </c>
      <c r="G16" s="19" t="s">
        <v>97</v>
      </c>
      <c r="H16" s="19" t="s">
        <v>99</v>
      </c>
      <c r="I16" s="19" t="s">
        <v>100</v>
      </c>
      <c r="J16" s="19" t="s">
        <v>101</v>
      </c>
      <c r="K16" s="19" t="s">
        <v>102</v>
      </c>
      <c r="L16" s="20">
        <v>5</v>
      </c>
      <c r="M16" s="19">
        <v>12500</v>
      </c>
      <c r="N16" s="19">
        <v>0.1</v>
      </c>
      <c r="O16" s="19">
        <v>62500</v>
      </c>
      <c r="P16" s="19">
        <v>6250</v>
      </c>
      <c r="Q16" s="19">
        <v>56250</v>
      </c>
      <c r="R16" s="19">
        <v>35054.75</v>
      </c>
      <c r="S16" s="19">
        <v>21195.25</v>
      </c>
      <c r="T16" s="21">
        <f>IFERROR(Raw_Data!$S16/Raw_Data!$Q16,0)</f>
        <v>0.37680444444444444</v>
      </c>
      <c r="U16" s="19" t="s">
        <v>33</v>
      </c>
      <c r="V16" s="19" t="s">
        <v>34</v>
      </c>
      <c r="W16" s="19" t="s">
        <v>55</v>
      </c>
      <c r="X16" s="19" t="s">
        <v>36</v>
      </c>
    </row>
    <row r="17" spans="1:24" x14ac:dyDescent="0.35">
      <c r="A17" s="13" t="s">
        <v>385</v>
      </c>
      <c r="B17" s="14">
        <v>45675</v>
      </c>
      <c r="C17" s="4" t="s">
        <v>24</v>
      </c>
      <c r="D17" s="4" t="s">
        <v>25</v>
      </c>
      <c r="E17" s="4" t="s">
        <v>26</v>
      </c>
      <c r="F17" s="4" t="s">
        <v>27</v>
      </c>
      <c r="G17" s="4" t="s">
        <v>28</v>
      </c>
      <c r="H17" s="4" t="s">
        <v>162</v>
      </c>
      <c r="I17" s="4" t="s">
        <v>163</v>
      </c>
      <c r="J17" s="4" t="s">
        <v>31</v>
      </c>
      <c r="K17" s="4" t="s">
        <v>164</v>
      </c>
      <c r="L17" s="15">
        <v>8</v>
      </c>
      <c r="M17" s="4">
        <v>16500</v>
      </c>
      <c r="N17" s="4">
        <v>0.15</v>
      </c>
      <c r="O17" s="4">
        <v>132000</v>
      </c>
      <c r="P17" s="4">
        <v>19800</v>
      </c>
      <c r="Q17" s="4">
        <v>112200</v>
      </c>
      <c r="R17" s="4">
        <v>83172.25</v>
      </c>
      <c r="S17" s="4">
        <v>29027.75</v>
      </c>
      <c r="T17" s="16">
        <f>IFERROR(Raw_Data!$S17/Raw_Data!$Q17,0)</f>
        <v>0.25871434937611409</v>
      </c>
      <c r="U17" s="4" t="s">
        <v>54</v>
      </c>
      <c r="V17" s="4" t="s">
        <v>34</v>
      </c>
      <c r="W17" s="4" t="s">
        <v>35</v>
      </c>
      <c r="X17" s="4" t="s">
        <v>36</v>
      </c>
    </row>
    <row r="18" spans="1:24" x14ac:dyDescent="0.35">
      <c r="A18" s="17" t="s">
        <v>311</v>
      </c>
      <c r="B18" s="18">
        <v>45677</v>
      </c>
      <c r="C18" s="19" t="s">
        <v>122</v>
      </c>
      <c r="D18" s="19" t="s">
        <v>123</v>
      </c>
      <c r="E18" s="19" t="s">
        <v>124</v>
      </c>
      <c r="F18" s="19" t="s">
        <v>87</v>
      </c>
      <c r="G18" s="19" t="s">
        <v>42</v>
      </c>
      <c r="H18" s="19" t="s">
        <v>118</v>
      </c>
      <c r="I18" s="19" t="s">
        <v>119</v>
      </c>
      <c r="J18" s="19" t="s">
        <v>31</v>
      </c>
      <c r="K18" s="19" t="s">
        <v>120</v>
      </c>
      <c r="L18" s="20">
        <v>5</v>
      </c>
      <c r="M18" s="19">
        <v>14500</v>
      </c>
      <c r="N18" s="19">
        <v>0.1</v>
      </c>
      <c r="O18" s="19">
        <v>72500</v>
      </c>
      <c r="P18" s="19">
        <v>7250</v>
      </c>
      <c r="Q18" s="19">
        <v>65250</v>
      </c>
      <c r="R18" s="19">
        <v>48745.49</v>
      </c>
      <c r="S18" s="19">
        <v>16504.509999999998</v>
      </c>
      <c r="T18" s="21">
        <f>IFERROR(Raw_Data!$S18/Raw_Data!$Q18,0)</f>
        <v>0.25294268199233716</v>
      </c>
      <c r="U18" s="19" t="s">
        <v>33</v>
      </c>
      <c r="V18" s="19" t="s">
        <v>139</v>
      </c>
      <c r="W18" s="19" t="s">
        <v>55</v>
      </c>
      <c r="X18" s="19" t="s">
        <v>36</v>
      </c>
    </row>
    <row r="19" spans="1:24" x14ac:dyDescent="0.35">
      <c r="A19" s="13" t="s">
        <v>161</v>
      </c>
      <c r="B19" s="14">
        <v>45678</v>
      </c>
      <c r="C19" s="4" t="s">
        <v>38</v>
      </c>
      <c r="D19" s="4" t="s">
        <v>39</v>
      </c>
      <c r="E19" s="4" t="s">
        <v>40</v>
      </c>
      <c r="F19" s="4" t="s">
        <v>41</v>
      </c>
      <c r="G19" s="4" t="s">
        <v>42</v>
      </c>
      <c r="H19" s="4" t="s">
        <v>162</v>
      </c>
      <c r="I19" s="4" t="s">
        <v>163</v>
      </c>
      <c r="J19" s="4" t="s">
        <v>31</v>
      </c>
      <c r="K19" s="4" t="s">
        <v>164</v>
      </c>
      <c r="L19" s="15">
        <v>2</v>
      </c>
      <c r="M19" s="4">
        <v>16500</v>
      </c>
      <c r="N19" s="4">
        <v>0.1</v>
      </c>
      <c r="O19" s="4">
        <v>33000</v>
      </c>
      <c r="P19" s="4">
        <v>3300</v>
      </c>
      <c r="Q19" s="4">
        <v>-29700</v>
      </c>
      <c r="R19" s="4">
        <v>21911.759999999998</v>
      </c>
      <c r="S19" s="4">
        <v>-7788.24</v>
      </c>
      <c r="T19" s="16">
        <f>IFERROR(Raw_Data!$S19/Raw_Data!$Q19,0)</f>
        <v>0.26223030303030304</v>
      </c>
      <c r="U19" s="4" t="s">
        <v>33</v>
      </c>
      <c r="V19" s="4" t="s">
        <v>64</v>
      </c>
      <c r="W19" s="4" t="s">
        <v>65</v>
      </c>
      <c r="X19" s="4" t="s">
        <v>49</v>
      </c>
    </row>
    <row r="20" spans="1:24" x14ac:dyDescent="0.35">
      <c r="A20" s="17" t="s">
        <v>231</v>
      </c>
      <c r="B20" s="18">
        <v>45678</v>
      </c>
      <c r="C20" s="19" t="s">
        <v>170</v>
      </c>
      <c r="D20" s="19" t="s">
        <v>171</v>
      </c>
      <c r="E20" s="19" t="s">
        <v>172</v>
      </c>
      <c r="F20" s="19" t="s">
        <v>27</v>
      </c>
      <c r="G20" s="19" t="s">
        <v>97</v>
      </c>
      <c r="H20" s="19" t="s">
        <v>162</v>
      </c>
      <c r="I20" s="19" t="s">
        <v>163</v>
      </c>
      <c r="J20" s="19" t="s">
        <v>31</v>
      </c>
      <c r="K20" s="19" t="s">
        <v>164</v>
      </c>
      <c r="L20" s="20">
        <v>3</v>
      </c>
      <c r="M20" s="19">
        <v>16500</v>
      </c>
      <c r="N20" s="19">
        <v>0.1</v>
      </c>
      <c r="O20" s="19">
        <v>49500</v>
      </c>
      <c r="P20" s="19">
        <v>4950</v>
      </c>
      <c r="Q20" s="19">
        <v>44550</v>
      </c>
      <c r="R20" s="19">
        <v>31387.759999999998</v>
      </c>
      <c r="S20" s="19">
        <v>13162.24</v>
      </c>
      <c r="T20" s="21">
        <f>IFERROR(Raw_Data!$S20/Raw_Data!$Q20,0)</f>
        <v>0.29544870931537598</v>
      </c>
      <c r="U20" s="19" t="s">
        <v>113</v>
      </c>
      <c r="V20" s="19" t="s">
        <v>88</v>
      </c>
      <c r="W20" s="19" t="s">
        <v>55</v>
      </c>
      <c r="X20" s="19" t="s">
        <v>36</v>
      </c>
    </row>
    <row r="21" spans="1:24" x14ac:dyDescent="0.35">
      <c r="A21" s="13" t="s">
        <v>66</v>
      </c>
      <c r="B21" s="14">
        <v>45680</v>
      </c>
      <c r="C21" s="4" t="s">
        <v>67</v>
      </c>
      <c r="D21" s="4" t="s">
        <v>68</v>
      </c>
      <c r="E21" s="4" t="s">
        <v>69</v>
      </c>
      <c r="F21" s="4" t="s">
        <v>41</v>
      </c>
      <c r="G21" s="4" t="s">
        <v>28</v>
      </c>
      <c r="H21" s="4" t="s">
        <v>61</v>
      </c>
      <c r="I21" s="4" t="s">
        <v>62</v>
      </c>
      <c r="J21" s="4" t="s">
        <v>45</v>
      </c>
      <c r="K21" s="4" t="s">
        <v>63</v>
      </c>
      <c r="L21" s="15">
        <v>8</v>
      </c>
      <c r="M21" s="4">
        <v>1800</v>
      </c>
      <c r="N21" s="4">
        <v>0.15</v>
      </c>
      <c r="O21" s="4">
        <v>14400</v>
      </c>
      <c r="P21" s="4">
        <v>2160</v>
      </c>
      <c r="Q21" s="4">
        <v>12240</v>
      </c>
      <c r="R21" s="4">
        <v>7465.89</v>
      </c>
      <c r="S21" s="4">
        <v>4774.1099999999997</v>
      </c>
      <c r="T21" s="16">
        <f>IFERROR(Raw_Data!$S21/Raw_Data!$Q21,0)</f>
        <v>0.39004166666666662</v>
      </c>
      <c r="U21" s="4" t="s">
        <v>54</v>
      </c>
      <c r="V21" s="4" t="s">
        <v>70</v>
      </c>
      <c r="W21" s="4" t="s">
        <v>65</v>
      </c>
      <c r="X21" s="4" t="s">
        <v>36</v>
      </c>
    </row>
    <row r="22" spans="1:24" x14ac:dyDescent="0.35">
      <c r="A22" s="17" t="s">
        <v>351</v>
      </c>
      <c r="B22" s="18">
        <v>45681</v>
      </c>
      <c r="C22" s="19" t="s">
        <v>115</v>
      </c>
      <c r="D22" s="19" t="s">
        <v>116</v>
      </c>
      <c r="E22" s="19" t="s">
        <v>117</v>
      </c>
      <c r="F22" s="19" t="s">
        <v>60</v>
      </c>
      <c r="G22" s="19" t="s">
        <v>97</v>
      </c>
      <c r="H22" s="19" t="s">
        <v>29</v>
      </c>
      <c r="I22" s="19" t="s">
        <v>30</v>
      </c>
      <c r="J22" s="19" t="s">
        <v>31</v>
      </c>
      <c r="K22" s="19" t="s">
        <v>32</v>
      </c>
      <c r="L22" s="20">
        <v>1</v>
      </c>
      <c r="M22" s="19">
        <v>78000</v>
      </c>
      <c r="N22" s="19">
        <v>0</v>
      </c>
      <c r="O22" s="19">
        <v>78000</v>
      </c>
      <c r="P22" s="19">
        <v>0</v>
      </c>
      <c r="Q22" s="19">
        <v>78000</v>
      </c>
      <c r="R22" s="19">
        <v>58598.44</v>
      </c>
      <c r="S22" s="19">
        <v>19401.560000000001</v>
      </c>
      <c r="T22" s="21">
        <f>IFERROR(Raw_Data!$S22/Raw_Data!$Q22,0)</f>
        <v>0.24873794871794874</v>
      </c>
      <c r="U22" s="19" t="s">
        <v>33</v>
      </c>
      <c r="V22" s="19" t="s">
        <v>139</v>
      </c>
      <c r="W22" s="19" t="s">
        <v>48</v>
      </c>
      <c r="X22" s="19" t="s">
        <v>36</v>
      </c>
    </row>
    <row r="23" spans="1:24" x14ac:dyDescent="0.35">
      <c r="A23" s="13" t="s">
        <v>389</v>
      </c>
      <c r="B23" s="14">
        <v>45682</v>
      </c>
      <c r="C23" s="4" t="s">
        <v>51</v>
      </c>
      <c r="D23" s="4" t="s">
        <v>52</v>
      </c>
      <c r="E23" s="4" t="s">
        <v>53</v>
      </c>
      <c r="F23" s="4" t="s">
        <v>27</v>
      </c>
      <c r="G23" s="4" t="s">
        <v>28</v>
      </c>
      <c r="H23" s="4" t="s">
        <v>99</v>
      </c>
      <c r="I23" s="4" t="s">
        <v>100</v>
      </c>
      <c r="J23" s="4" t="s">
        <v>101</v>
      </c>
      <c r="K23" s="4" t="s">
        <v>102</v>
      </c>
      <c r="L23" s="15">
        <v>6</v>
      </c>
      <c r="M23" s="4">
        <v>12500</v>
      </c>
      <c r="N23" s="4">
        <v>0.2</v>
      </c>
      <c r="O23" s="4">
        <v>75000</v>
      </c>
      <c r="P23" s="4">
        <v>15000</v>
      </c>
      <c r="Q23" s="4">
        <v>-60000</v>
      </c>
      <c r="R23" s="4">
        <v>44467.33</v>
      </c>
      <c r="S23" s="4">
        <v>-15532.67</v>
      </c>
      <c r="T23" s="16">
        <f>IFERROR(Raw_Data!$S23/Raw_Data!$Q23,0)</f>
        <v>0.25887783333333331</v>
      </c>
      <c r="U23" s="4" t="s">
        <v>113</v>
      </c>
      <c r="V23" s="4" t="s">
        <v>34</v>
      </c>
      <c r="W23" s="4" t="s">
        <v>55</v>
      </c>
      <c r="X23" s="4" t="s">
        <v>49</v>
      </c>
    </row>
    <row r="24" spans="1:24" x14ac:dyDescent="0.35">
      <c r="A24" s="17" t="s">
        <v>265</v>
      </c>
      <c r="B24" s="18">
        <v>45683</v>
      </c>
      <c r="C24" s="19" t="s">
        <v>67</v>
      </c>
      <c r="D24" s="19" t="s">
        <v>68</v>
      </c>
      <c r="E24" s="19" t="s">
        <v>69</v>
      </c>
      <c r="F24" s="19" t="s">
        <v>41</v>
      </c>
      <c r="G24" s="19" t="s">
        <v>28</v>
      </c>
      <c r="H24" s="19" t="s">
        <v>29</v>
      </c>
      <c r="I24" s="19" t="s">
        <v>30</v>
      </c>
      <c r="J24" s="19" t="s">
        <v>31</v>
      </c>
      <c r="K24" s="19" t="s">
        <v>32</v>
      </c>
      <c r="L24" s="20">
        <v>6</v>
      </c>
      <c r="M24" s="19">
        <v>78000</v>
      </c>
      <c r="N24" s="19">
        <v>0</v>
      </c>
      <c r="O24" s="19">
        <v>468000</v>
      </c>
      <c r="P24" s="19">
        <v>0</v>
      </c>
      <c r="Q24" s="19">
        <v>-468000</v>
      </c>
      <c r="R24" s="19">
        <v>382504.36</v>
      </c>
      <c r="S24" s="19">
        <v>-85495.64</v>
      </c>
      <c r="T24" s="21">
        <f>IFERROR(Raw_Data!$S24/Raw_Data!$Q24,0)</f>
        <v>0.18268299145299144</v>
      </c>
      <c r="U24" s="19" t="s">
        <v>54</v>
      </c>
      <c r="V24" s="19" t="s">
        <v>47</v>
      </c>
      <c r="W24" s="19" t="s">
        <v>48</v>
      </c>
      <c r="X24" s="19" t="s">
        <v>49</v>
      </c>
    </row>
    <row r="25" spans="1:24" x14ac:dyDescent="0.35">
      <c r="A25" s="13" t="s">
        <v>344</v>
      </c>
      <c r="B25" s="14">
        <v>45683</v>
      </c>
      <c r="C25" s="4" t="s">
        <v>122</v>
      </c>
      <c r="D25" s="4" t="s">
        <v>123</v>
      </c>
      <c r="E25" s="4" t="s">
        <v>124</v>
      </c>
      <c r="F25" s="4" t="s">
        <v>87</v>
      </c>
      <c r="G25" s="4" t="s">
        <v>42</v>
      </c>
      <c r="H25" s="4" t="s">
        <v>80</v>
      </c>
      <c r="I25" s="4" t="s">
        <v>81</v>
      </c>
      <c r="J25" s="4" t="s">
        <v>31</v>
      </c>
      <c r="K25" s="4" t="s">
        <v>82</v>
      </c>
      <c r="L25" s="15">
        <v>5</v>
      </c>
      <c r="M25" s="4">
        <v>62000</v>
      </c>
      <c r="N25" s="4">
        <v>0.1</v>
      </c>
      <c r="O25" s="4">
        <v>310000</v>
      </c>
      <c r="P25" s="4">
        <v>31000</v>
      </c>
      <c r="Q25" s="4">
        <v>279000</v>
      </c>
      <c r="R25" s="4">
        <v>219684.41</v>
      </c>
      <c r="S25" s="4">
        <v>59315.59</v>
      </c>
      <c r="T25" s="16">
        <f>IFERROR(Raw_Data!$S25/Raw_Data!$Q25,0)</f>
        <v>0.21260068100358423</v>
      </c>
      <c r="U25" s="4" t="s">
        <v>54</v>
      </c>
      <c r="V25" s="4" t="s">
        <v>88</v>
      </c>
      <c r="W25" s="4" t="s">
        <v>65</v>
      </c>
      <c r="X25" s="4" t="s">
        <v>36</v>
      </c>
    </row>
    <row r="26" spans="1:24" x14ac:dyDescent="0.35">
      <c r="A26" s="17" t="s">
        <v>220</v>
      </c>
      <c r="B26" s="18">
        <v>45685</v>
      </c>
      <c r="C26" s="19" t="s">
        <v>170</v>
      </c>
      <c r="D26" s="19" t="s">
        <v>171</v>
      </c>
      <c r="E26" s="19" t="s">
        <v>172</v>
      </c>
      <c r="F26" s="19" t="s">
        <v>27</v>
      </c>
      <c r="G26" s="19" t="s">
        <v>97</v>
      </c>
      <c r="H26" s="19" t="s">
        <v>29</v>
      </c>
      <c r="I26" s="19" t="s">
        <v>30</v>
      </c>
      <c r="J26" s="19" t="s">
        <v>31</v>
      </c>
      <c r="K26" s="19" t="s">
        <v>32</v>
      </c>
      <c r="L26" s="20">
        <v>5</v>
      </c>
      <c r="M26" s="19">
        <v>78000</v>
      </c>
      <c r="N26" s="19">
        <v>0.2</v>
      </c>
      <c r="O26" s="19">
        <v>390000</v>
      </c>
      <c r="P26" s="19">
        <v>78000</v>
      </c>
      <c r="Q26" s="19">
        <v>0</v>
      </c>
      <c r="R26" s="19">
        <v>251653.43</v>
      </c>
      <c r="S26" s="19">
        <v>0</v>
      </c>
      <c r="T26" s="21">
        <f>IFERROR(Raw_Data!$S26/Raw_Data!$Q26,0)</f>
        <v>0</v>
      </c>
      <c r="U26" s="19" t="s">
        <v>113</v>
      </c>
      <c r="V26" s="19" t="s">
        <v>47</v>
      </c>
      <c r="W26" s="19" t="s">
        <v>35</v>
      </c>
      <c r="X26" s="19" t="s">
        <v>75</v>
      </c>
    </row>
    <row r="27" spans="1:24" x14ac:dyDescent="0.35">
      <c r="A27" s="13" t="s">
        <v>391</v>
      </c>
      <c r="B27" s="14">
        <v>45687</v>
      </c>
      <c r="C27" s="4" t="s">
        <v>122</v>
      </c>
      <c r="D27" s="4" t="s">
        <v>123</v>
      </c>
      <c r="E27" s="4" t="s">
        <v>124</v>
      </c>
      <c r="F27" s="4" t="s">
        <v>87</v>
      </c>
      <c r="G27" s="4" t="s">
        <v>42</v>
      </c>
      <c r="H27" s="4" t="s">
        <v>99</v>
      </c>
      <c r="I27" s="4" t="s">
        <v>100</v>
      </c>
      <c r="J27" s="4" t="s">
        <v>101</v>
      </c>
      <c r="K27" s="4" t="s">
        <v>102</v>
      </c>
      <c r="L27" s="15">
        <v>7</v>
      </c>
      <c r="M27" s="4">
        <v>12500</v>
      </c>
      <c r="N27" s="4">
        <v>0.1</v>
      </c>
      <c r="O27" s="4">
        <v>87500</v>
      </c>
      <c r="P27" s="4">
        <v>8750</v>
      </c>
      <c r="Q27" s="4">
        <v>78750</v>
      </c>
      <c r="R27" s="4">
        <v>56207.72</v>
      </c>
      <c r="S27" s="4">
        <v>22542.28</v>
      </c>
      <c r="T27" s="16">
        <f>IFERROR(Raw_Data!$S27/Raw_Data!$Q27,0)</f>
        <v>0.28625117460317456</v>
      </c>
      <c r="U27" s="4" t="s">
        <v>113</v>
      </c>
      <c r="V27" s="4" t="s">
        <v>88</v>
      </c>
      <c r="W27" s="4" t="s">
        <v>65</v>
      </c>
      <c r="X27" s="4" t="s">
        <v>36</v>
      </c>
    </row>
    <row r="28" spans="1:24" x14ac:dyDescent="0.35">
      <c r="A28" s="17" t="s">
        <v>228</v>
      </c>
      <c r="B28" s="18">
        <v>45688</v>
      </c>
      <c r="C28" s="19" t="s">
        <v>122</v>
      </c>
      <c r="D28" s="19" t="s">
        <v>123</v>
      </c>
      <c r="E28" s="19" t="s">
        <v>124</v>
      </c>
      <c r="F28" s="19" t="s">
        <v>87</v>
      </c>
      <c r="G28" s="19" t="s">
        <v>42</v>
      </c>
      <c r="H28" s="19" t="s">
        <v>80</v>
      </c>
      <c r="I28" s="19" t="s">
        <v>81</v>
      </c>
      <c r="J28" s="19" t="s">
        <v>31</v>
      </c>
      <c r="K28" s="19" t="s">
        <v>82</v>
      </c>
      <c r="L28" s="20">
        <v>3</v>
      </c>
      <c r="M28" s="19">
        <v>62000</v>
      </c>
      <c r="N28" s="19">
        <v>0.05</v>
      </c>
      <c r="O28" s="19">
        <v>186000</v>
      </c>
      <c r="P28" s="19">
        <v>9300</v>
      </c>
      <c r="Q28" s="19">
        <v>-176700</v>
      </c>
      <c r="R28" s="19">
        <v>127720.63</v>
      </c>
      <c r="S28" s="19">
        <v>-48979.37</v>
      </c>
      <c r="T28" s="21">
        <f>IFERROR(Raw_Data!$S28/Raw_Data!$Q28,0)</f>
        <v>0.27718941709111489</v>
      </c>
      <c r="U28" s="19" t="s">
        <v>113</v>
      </c>
      <c r="V28" s="19" t="s">
        <v>139</v>
      </c>
      <c r="W28" s="19" t="s">
        <v>35</v>
      </c>
      <c r="X28" s="19" t="s">
        <v>49</v>
      </c>
    </row>
    <row r="29" spans="1:24" x14ac:dyDescent="0.35">
      <c r="A29" s="13" t="s">
        <v>319</v>
      </c>
      <c r="B29" s="14">
        <v>45690</v>
      </c>
      <c r="C29" s="4" t="s">
        <v>105</v>
      </c>
      <c r="D29" s="4" t="s">
        <v>106</v>
      </c>
      <c r="E29" s="4" t="s">
        <v>107</v>
      </c>
      <c r="F29" s="4" t="s">
        <v>108</v>
      </c>
      <c r="G29" s="4" t="s">
        <v>28</v>
      </c>
      <c r="H29" s="4" t="s">
        <v>118</v>
      </c>
      <c r="I29" s="4" t="s">
        <v>119</v>
      </c>
      <c r="J29" s="4" t="s">
        <v>31</v>
      </c>
      <c r="K29" s="4" t="s">
        <v>120</v>
      </c>
      <c r="L29" s="15">
        <v>8</v>
      </c>
      <c r="M29" s="4">
        <v>14500</v>
      </c>
      <c r="N29" s="4">
        <v>0</v>
      </c>
      <c r="O29" s="4">
        <v>116000</v>
      </c>
      <c r="P29" s="4">
        <v>0</v>
      </c>
      <c r="Q29" s="4">
        <v>116000</v>
      </c>
      <c r="R29" s="4">
        <v>75449.440000000002</v>
      </c>
      <c r="S29" s="4">
        <v>40550.559999999998</v>
      </c>
      <c r="T29" s="16">
        <f>IFERROR(Raw_Data!$S29/Raw_Data!$Q29,0)</f>
        <v>0.34957379310344827</v>
      </c>
      <c r="U29" s="4" t="s">
        <v>54</v>
      </c>
      <c r="V29" s="4" t="s">
        <v>47</v>
      </c>
      <c r="W29" s="4" t="s">
        <v>65</v>
      </c>
      <c r="X29" s="4" t="s">
        <v>36</v>
      </c>
    </row>
    <row r="30" spans="1:24" x14ac:dyDescent="0.35">
      <c r="A30" s="17" t="s">
        <v>93</v>
      </c>
      <c r="B30" s="18">
        <v>45691</v>
      </c>
      <c r="C30" s="19" t="s">
        <v>94</v>
      </c>
      <c r="D30" s="19" t="s">
        <v>95</v>
      </c>
      <c r="E30" s="19" t="s">
        <v>96</v>
      </c>
      <c r="F30" s="19" t="s">
        <v>60</v>
      </c>
      <c r="G30" s="19" t="s">
        <v>97</v>
      </c>
      <c r="H30" s="19" t="s">
        <v>61</v>
      </c>
      <c r="I30" s="19" t="s">
        <v>62</v>
      </c>
      <c r="J30" s="19" t="s">
        <v>45</v>
      </c>
      <c r="K30" s="19" t="s">
        <v>63</v>
      </c>
      <c r="L30" s="20">
        <v>4</v>
      </c>
      <c r="M30" s="19">
        <v>1800</v>
      </c>
      <c r="N30" s="19">
        <v>0.15</v>
      </c>
      <c r="O30" s="19">
        <v>7200</v>
      </c>
      <c r="P30" s="19">
        <v>1080</v>
      </c>
      <c r="Q30" s="19">
        <v>6120</v>
      </c>
      <c r="R30" s="19">
        <v>4836.8100000000004</v>
      </c>
      <c r="S30" s="19">
        <v>1283.19</v>
      </c>
      <c r="T30" s="21">
        <f>IFERROR(Raw_Data!$S30/Raw_Data!$Q30,0)</f>
        <v>0.20967156862745098</v>
      </c>
      <c r="U30" s="19" t="s">
        <v>54</v>
      </c>
      <c r="V30" s="19" t="s">
        <v>34</v>
      </c>
      <c r="W30" s="19" t="s">
        <v>55</v>
      </c>
      <c r="X30" s="19" t="s">
        <v>36</v>
      </c>
    </row>
    <row r="31" spans="1:24" x14ac:dyDescent="0.35">
      <c r="A31" s="13" t="s">
        <v>316</v>
      </c>
      <c r="B31" s="14">
        <v>45692</v>
      </c>
      <c r="C31" s="4" t="s">
        <v>115</v>
      </c>
      <c r="D31" s="4" t="s">
        <v>116</v>
      </c>
      <c r="E31" s="4" t="s">
        <v>117</v>
      </c>
      <c r="F31" s="4" t="s">
        <v>60</v>
      </c>
      <c r="G31" s="4" t="s">
        <v>97</v>
      </c>
      <c r="H31" s="4" t="s">
        <v>72</v>
      </c>
      <c r="I31" s="4" t="s">
        <v>73</v>
      </c>
      <c r="J31" s="4" t="s">
        <v>45</v>
      </c>
      <c r="K31" s="4" t="s">
        <v>74</v>
      </c>
      <c r="L31" s="15">
        <v>1</v>
      </c>
      <c r="M31" s="4">
        <v>4200</v>
      </c>
      <c r="N31" s="4">
        <v>0.1</v>
      </c>
      <c r="O31" s="4">
        <v>4200</v>
      </c>
      <c r="P31" s="4">
        <v>420</v>
      </c>
      <c r="Q31" s="4">
        <v>3780</v>
      </c>
      <c r="R31" s="4">
        <v>2984.69</v>
      </c>
      <c r="S31" s="4">
        <v>795.31</v>
      </c>
      <c r="T31" s="16">
        <f>IFERROR(Raw_Data!$S31/Raw_Data!$Q31,0)</f>
        <v>0.21039947089947089</v>
      </c>
      <c r="U31" s="4" t="s">
        <v>33</v>
      </c>
      <c r="V31" s="4" t="s">
        <v>139</v>
      </c>
      <c r="W31" s="4" t="s">
        <v>65</v>
      </c>
      <c r="X31" s="4" t="s">
        <v>36</v>
      </c>
    </row>
    <row r="32" spans="1:24" x14ac:dyDescent="0.35">
      <c r="A32" s="17" t="s">
        <v>433</v>
      </c>
      <c r="B32" s="18">
        <v>45692</v>
      </c>
      <c r="C32" s="19" t="s">
        <v>90</v>
      </c>
      <c r="D32" s="19" t="s">
        <v>91</v>
      </c>
      <c r="E32" s="19" t="s">
        <v>92</v>
      </c>
      <c r="F32" s="19" t="s">
        <v>60</v>
      </c>
      <c r="G32" s="19" t="s">
        <v>42</v>
      </c>
      <c r="H32" s="19" t="s">
        <v>72</v>
      </c>
      <c r="I32" s="19" t="s">
        <v>73</v>
      </c>
      <c r="J32" s="19" t="s">
        <v>45</v>
      </c>
      <c r="K32" s="19" t="s">
        <v>74</v>
      </c>
      <c r="L32" s="20">
        <v>5</v>
      </c>
      <c r="M32" s="19">
        <v>4200</v>
      </c>
      <c r="N32" s="19">
        <v>0</v>
      </c>
      <c r="O32" s="19">
        <v>21000</v>
      </c>
      <c r="P32" s="19">
        <v>0</v>
      </c>
      <c r="Q32" s="19">
        <v>21000</v>
      </c>
      <c r="R32" s="19">
        <v>16263.34</v>
      </c>
      <c r="S32" s="19">
        <v>4736.66</v>
      </c>
      <c r="T32" s="21">
        <f>IFERROR(Raw_Data!$S32/Raw_Data!$Q32,0)</f>
        <v>0.22555523809523809</v>
      </c>
      <c r="U32" s="19" t="s">
        <v>54</v>
      </c>
      <c r="V32" s="19" t="s">
        <v>64</v>
      </c>
      <c r="W32" s="19" t="s">
        <v>35</v>
      </c>
      <c r="X32" s="19" t="s">
        <v>36</v>
      </c>
    </row>
    <row r="33" spans="1:24" x14ac:dyDescent="0.35">
      <c r="A33" s="13" t="s">
        <v>271</v>
      </c>
      <c r="B33" s="14">
        <v>45695</v>
      </c>
      <c r="C33" s="4" t="s">
        <v>127</v>
      </c>
      <c r="D33" s="4" t="s">
        <v>128</v>
      </c>
      <c r="E33" s="4" t="s">
        <v>129</v>
      </c>
      <c r="F33" s="4" t="s">
        <v>27</v>
      </c>
      <c r="G33" s="4" t="s">
        <v>28</v>
      </c>
      <c r="H33" s="4" t="s">
        <v>99</v>
      </c>
      <c r="I33" s="4" t="s">
        <v>100</v>
      </c>
      <c r="J33" s="4" t="s">
        <v>101</v>
      </c>
      <c r="K33" s="4" t="s">
        <v>102</v>
      </c>
      <c r="L33" s="15">
        <v>2</v>
      </c>
      <c r="M33" s="4">
        <v>12500</v>
      </c>
      <c r="N33" s="4">
        <v>0.05</v>
      </c>
      <c r="O33" s="4">
        <v>25000</v>
      </c>
      <c r="P33" s="4">
        <v>1250</v>
      </c>
      <c r="Q33" s="4">
        <v>23750</v>
      </c>
      <c r="R33" s="4">
        <v>17242.3</v>
      </c>
      <c r="S33" s="4">
        <v>6507.7</v>
      </c>
      <c r="T33" s="16">
        <f>IFERROR(Raw_Data!$S33/Raw_Data!$Q33,0)</f>
        <v>0.27400842105263157</v>
      </c>
      <c r="U33" s="4" t="s">
        <v>54</v>
      </c>
      <c r="V33" s="4" t="s">
        <v>64</v>
      </c>
      <c r="W33" s="4" t="s">
        <v>65</v>
      </c>
      <c r="X33" s="4" t="s">
        <v>36</v>
      </c>
    </row>
    <row r="34" spans="1:24" x14ac:dyDescent="0.35">
      <c r="A34" s="17" t="s">
        <v>294</v>
      </c>
      <c r="B34" s="18">
        <v>45695</v>
      </c>
      <c r="C34" s="19" t="s">
        <v>176</v>
      </c>
      <c r="D34" s="19" t="s">
        <v>177</v>
      </c>
      <c r="E34" s="19" t="s">
        <v>178</v>
      </c>
      <c r="F34" s="19" t="s">
        <v>108</v>
      </c>
      <c r="G34" s="19" t="s">
        <v>28</v>
      </c>
      <c r="H34" s="19" t="s">
        <v>110</v>
      </c>
      <c r="I34" s="19" t="s">
        <v>111</v>
      </c>
      <c r="J34" s="19" t="s">
        <v>101</v>
      </c>
      <c r="K34" s="19" t="s">
        <v>112</v>
      </c>
      <c r="L34" s="20">
        <v>5</v>
      </c>
      <c r="M34" s="19">
        <v>22000</v>
      </c>
      <c r="N34" s="19">
        <v>0.1</v>
      </c>
      <c r="O34" s="19">
        <v>110000</v>
      </c>
      <c r="P34" s="19">
        <v>11000</v>
      </c>
      <c r="Q34" s="19">
        <v>99000</v>
      </c>
      <c r="R34" s="19">
        <v>68157.47</v>
      </c>
      <c r="S34" s="19">
        <v>30842.53</v>
      </c>
      <c r="T34" s="21">
        <f>IFERROR(Raw_Data!$S34/Raw_Data!$Q34,0)</f>
        <v>0.31154070707070708</v>
      </c>
      <c r="U34" s="19" t="s">
        <v>113</v>
      </c>
      <c r="V34" s="19" t="s">
        <v>64</v>
      </c>
      <c r="W34" s="19" t="s">
        <v>35</v>
      </c>
      <c r="X34" s="19" t="s">
        <v>36</v>
      </c>
    </row>
    <row r="35" spans="1:24" x14ac:dyDescent="0.35">
      <c r="A35" s="13" t="s">
        <v>401</v>
      </c>
      <c r="B35" s="14">
        <v>45696</v>
      </c>
      <c r="C35" s="4" t="s">
        <v>115</v>
      </c>
      <c r="D35" s="4" t="s">
        <v>116</v>
      </c>
      <c r="E35" s="4" t="s">
        <v>117</v>
      </c>
      <c r="F35" s="4" t="s">
        <v>60</v>
      </c>
      <c r="G35" s="4" t="s">
        <v>97</v>
      </c>
      <c r="H35" s="4" t="s">
        <v>29</v>
      </c>
      <c r="I35" s="4" t="s">
        <v>30</v>
      </c>
      <c r="J35" s="4" t="s">
        <v>31</v>
      </c>
      <c r="K35" s="4" t="s">
        <v>32</v>
      </c>
      <c r="L35" s="15">
        <v>1</v>
      </c>
      <c r="M35" s="4">
        <v>78000</v>
      </c>
      <c r="N35" s="4">
        <v>0</v>
      </c>
      <c r="O35" s="4">
        <v>78000</v>
      </c>
      <c r="P35" s="4">
        <v>0</v>
      </c>
      <c r="Q35" s="4">
        <v>0</v>
      </c>
      <c r="R35" s="4">
        <v>52959.98</v>
      </c>
      <c r="S35" s="4">
        <v>0</v>
      </c>
      <c r="T35" s="16">
        <f>IFERROR(Raw_Data!$S35/Raw_Data!$Q35,0)</f>
        <v>0</v>
      </c>
      <c r="U35" s="4" t="s">
        <v>54</v>
      </c>
      <c r="V35" s="4" t="s">
        <v>47</v>
      </c>
      <c r="W35" s="4" t="s">
        <v>48</v>
      </c>
      <c r="X35" s="4" t="s">
        <v>75</v>
      </c>
    </row>
    <row r="36" spans="1:24" x14ac:dyDescent="0.35">
      <c r="A36" s="17" t="s">
        <v>197</v>
      </c>
      <c r="B36" s="18">
        <v>45697</v>
      </c>
      <c r="C36" s="19" t="s">
        <v>170</v>
      </c>
      <c r="D36" s="19" t="s">
        <v>171</v>
      </c>
      <c r="E36" s="19" t="s">
        <v>172</v>
      </c>
      <c r="F36" s="19" t="s">
        <v>27</v>
      </c>
      <c r="G36" s="19" t="s">
        <v>97</v>
      </c>
      <c r="H36" s="19" t="s">
        <v>99</v>
      </c>
      <c r="I36" s="19" t="s">
        <v>100</v>
      </c>
      <c r="J36" s="19" t="s">
        <v>101</v>
      </c>
      <c r="K36" s="19" t="s">
        <v>102</v>
      </c>
      <c r="L36" s="20">
        <v>5</v>
      </c>
      <c r="M36" s="19">
        <v>12500</v>
      </c>
      <c r="N36" s="19">
        <v>0</v>
      </c>
      <c r="O36" s="19">
        <v>62500</v>
      </c>
      <c r="P36" s="19">
        <v>0</v>
      </c>
      <c r="Q36" s="19">
        <v>62500</v>
      </c>
      <c r="R36" s="19">
        <v>40325.730000000003</v>
      </c>
      <c r="S36" s="19">
        <v>22174.27</v>
      </c>
      <c r="T36" s="21">
        <f>IFERROR(Raw_Data!$S36/Raw_Data!$Q36,0)</f>
        <v>0.35478831999999999</v>
      </c>
      <c r="U36" s="19" t="s">
        <v>33</v>
      </c>
      <c r="V36" s="19" t="s">
        <v>47</v>
      </c>
      <c r="W36" s="19" t="s">
        <v>48</v>
      </c>
      <c r="X36" s="19" t="s">
        <v>36</v>
      </c>
    </row>
    <row r="37" spans="1:24" x14ac:dyDescent="0.35">
      <c r="A37" s="13" t="s">
        <v>248</v>
      </c>
      <c r="B37" s="14">
        <v>45698</v>
      </c>
      <c r="C37" s="4" t="s">
        <v>105</v>
      </c>
      <c r="D37" s="4" t="s">
        <v>106</v>
      </c>
      <c r="E37" s="4" t="s">
        <v>107</v>
      </c>
      <c r="F37" s="4" t="s">
        <v>108</v>
      </c>
      <c r="G37" s="4" t="s">
        <v>28</v>
      </c>
      <c r="H37" s="4" t="s">
        <v>118</v>
      </c>
      <c r="I37" s="4" t="s">
        <v>119</v>
      </c>
      <c r="J37" s="4" t="s">
        <v>31</v>
      </c>
      <c r="K37" s="4" t="s">
        <v>120</v>
      </c>
      <c r="L37" s="15">
        <v>7</v>
      </c>
      <c r="M37" s="4">
        <v>14500</v>
      </c>
      <c r="N37" s="4">
        <v>0.15</v>
      </c>
      <c r="O37" s="4">
        <v>101500</v>
      </c>
      <c r="P37" s="4">
        <v>15225</v>
      </c>
      <c r="Q37" s="4">
        <v>86275</v>
      </c>
      <c r="R37" s="4">
        <v>64184.480000000003</v>
      </c>
      <c r="S37" s="4">
        <v>22090.52</v>
      </c>
      <c r="T37" s="16">
        <f>IFERROR(Raw_Data!$S37/Raw_Data!$Q37,0)</f>
        <v>0.25604775427412346</v>
      </c>
      <c r="U37" s="4" t="s">
        <v>33</v>
      </c>
      <c r="V37" s="4" t="s">
        <v>88</v>
      </c>
      <c r="W37" s="4" t="s">
        <v>48</v>
      </c>
      <c r="X37" s="4" t="s">
        <v>36</v>
      </c>
    </row>
    <row r="38" spans="1:24" x14ac:dyDescent="0.35">
      <c r="A38" s="17" t="s">
        <v>312</v>
      </c>
      <c r="B38" s="18">
        <v>45698</v>
      </c>
      <c r="C38" s="19" t="s">
        <v>67</v>
      </c>
      <c r="D38" s="19" t="s">
        <v>68</v>
      </c>
      <c r="E38" s="19" t="s">
        <v>69</v>
      </c>
      <c r="F38" s="19" t="s">
        <v>41</v>
      </c>
      <c r="G38" s="19" t="s">
        <v>28</v>
      </c>
      <c r="H38" s="19" t="s">
        <v>29</v>
      </c>
      <c r="I38" s="19" t="s">
        <v>30</v>
      </c>
      <c r="J38" s="19" t="s">
        <v>31</v>
      </c>
      <c r="K38" s="19" t="s">
        <v>32</v>
      </c>
      <c r="L38" s="20">
        <v>1</v>
      </c>
      <c r="M38" s="19">
        <v>78000</v>
      </c>
      <c r="N38" s="19">
        <v>0.05</v>
      </c>
      <c r="O38" s="19">
        <v>78000</v>
      </c>
      <c r="P38" s="19">
        <v>3900</v>
      </c>
      <c r="Q38" s="19">
        <v>74100</v>
      </c>
      <c r="R38" s="19">
        <v>46813.2</v>
      </c>
      <c r="S38" s="19">
        <v>27286.799999999999</v>
      </c>
      <c r="T38" s="21">
        <f>IFERROR(Raw_Data!$S38/Raw_Data!$Q38,0)</f>
        <v>0.36824291497975709</v>
      </c>
      <c r="U38" s="19" t="s">
        <v>33</v>
      </c>
      <c r="V38" s="19" t="s">
        <v>34</v>
      </c>
      <c r="W38" s="19" t="s">
        <v>55</v>
      </c>
      <c r="X38" s="19" t="s">
        <v>36</v>
      </c>
    </row>
    <row r="39" spans="1:24" x14ac:dyDescent="0.35">
      <c r="A39" s="13" t="s">
        <v>310</v>
      </c>
      <c r="B39" s="14">
        <v>45699</v>
      </c>
      <c r="C39" s="4" t="s">
        <v>77</v>
      </c>
      <c r="D39" s="4" t="s">
        <v>78</v>
      </c>
      <c r="E39" s="4" t="s">
        <v>79</v>
      </c>
      <c r="F39" s="4" t="s">
        <v>60</v>
      </c>
      <c r="G39" s="4" t="s">
        <v>28</v>
      </c>
      <c r="H39" s="4" t="s">
        <v>43</v>
      </c>
      <c r="I39" s="4" t="s">
        <v>44</v>
      </c>
      <c r="J39" s="4" t="s">
        <v>45</v>
      </c>
      <c r="K39" s="4" t="s">
        <v>46</v>
      </c>
      <c r="L39" s="15">
        <v>6</v>
      </c>
      <c r="M39" s="4">
        <v>8900</v>
      </c>
      <c r="N39" s="4">
        <v>0</v>
      </c>
      <c r="O39" s="4">
        <v>53400</v>
      </c>
      <c r="P39" s="4">
        <v>0</v>
      </c>
      <c r="Q39" s="4">
        <v>53400</v>
      </c>
      <c r="R39" s="4">
        <v>31333.25</v>
      </c>
      <c r="S39" s="4">
        <v>22066.75</v>
      </c>
      <c r="T39" s="16">
        <f>IFERROR(Raw_Data!$S39/Raw_Data!$Q39,0)</f>
        <v>0.41323501872659174</v>
      </c>
      <c r="U39" s="4" t="s">
        <v>33</v>
      </c>
      <c r="V39" s="4" t="s">
        <v>34</v>
      </c>
      <c r="W39" s="4" t="s">
        <v>65</v>
      </c>
      <c r="X39" s="4" t="s">
        <v>36</v>
      </c>
    </row>
    <row r="40" spans="1:24" x14ac:dyDescent="0.35">
      <c r="A40" s="17" t="s">
        <v>416</v>
      </c>
      <c r="B40" s="18">
        <v>45704</v>
      </c>
      <c r="C40" s="19" t="s">
        <v>176</v>
      </c>
      <c r="D40" s="19" t="s">
        <v>177</v>
      </c>
      <c r="E40" s="19" t="s">
        <v>178</v>
      </c>
      <c r="F40" s="19" t="s">
        <v>108</v>
      </c>
      <c r="G40" s="19" t="s">
        <v>28</v>
      </c>
      <c r="H40" s="19" t="s">
        <v>80</v>
      </c>
      <c r="I40" s="19" t="s">
        <v>81</v>
      </c>
      <c r="J40" s="19" t="s">
        <v>31</v>
      </c>
      <c r="K40" s="19" t="s">
        <v>82</v>
      </c>
      <c r="L40" s="20">
        <v>1</v>
      </c>
      <c r="M40" s="19">
        <v>62000</v>
      </c>
      <c r="N40" s="19">
        <v>0.05</v>
      </c>
      <c r="O40" s="19">
        <v>62000</v>
      </c>
      <c r="P40" s="19">
        <v>3100</v>
      </c>
      <c r="Q40" s="19">
        <v>58900</v>
      </c>
      <c r="R40" s="19">
        <v>40448.79</v>
      </c>
      <c r="S40" s="19">
        <v>18451.21</v>
      </c>
      <c r="T40" s="21">
        <f>IFERROR(Raw_Data!$S40/Raw_Data!$Q40,0)</f>
        <v>0.31326332767402376</v>
      </c>
      <c r="U40" s="19" t="s">
        <v>54</v>
      </c>
      <c r="V40" s="19" t="s">
        <v>88</v>
      </c>
      <c r="W40" s="19" t="s">
        <v>35</v>
      </c>
      <c r="X40" s="19" t="s">
        <v>36</v>
      </c>
    </row>
    <row r="41" spans="1:24" x14ac:dyDescent="0.35">
      <c r="A41" s="13" t="s">
        <v>173</v>
      </c>
      <c r="B41" s="14">
        <v>45705</v>
      </c>
      <c r="C41" s="4" t="s">
        <v>170</v>
      </c>
      <c r="D41" s="4" t="s">
        <v>171</v>
      </c>
      <c r="E41" s="4" t="s">
        <v>172</v>
      </c>
      <c r="F41" s="4" t="s">
        <v>27</v>
      </c>
      <c r="G41" s="4" t="s">
        <v>97</v>
      </c>
      <c r="H41" s="4" t="s">
        <v>29</v>
      </c>
      <c r="I41" s="4" t="s">
        <v>30</v>
      </c>
      <c r="J41" s="4" t="s">
        <v>31</v>
      </c>
      <c r="K41" s="4" t="s">
        <v>32</v>
      </c>
      <c r="L41" s="15">
        <v>7</v>
      </c>
      <c r="M41" s="4">
        <v>78000</v>
      </c>
      <c r="N41" s="4">
        <v>0.05</v>
      </c>
      <c r="O41" s="4">
        <v>546000</v>
      </c>
      <c r="P41" s="4">
        <v>27300</v>
      </c>
      <c r="Q41" s="4">
        <v>518700</v>
      </c>
      <c r="R41" s="4">
        <v>306334.27</v>
      </c>
      <c r="S41" s="4">
        <v>212365.73</v>
      </c>
      <c r="T41" s="16">
        <f>IFERROR(Raw_Data!$S41/Raw_Data!$Q41,0)</f>
        <v>0.40941918257181414</v>
      </c>
      <c r="U41" s="4" t="s">
        <v>54</v>
      </c>
      <c r="V41" s="4" t="s">
        <v>34</v>
      </c>
      <c r="W41" s="4" t="s">
        <v>65</v>
      </c>
      <c r="X41" s="4" t="s">
        <v>36</v>
      </c>
    </row>
    <row r="42" spans="1:24" x14ac:dyDescent="0.35">
      <c r="A42" s="17" t="s">
        <v>246</v>
      </c>
      <c r="B42" s="18">
        <v>45708</v>
      </c>
      <c r="C42" s="19" t="s">
        <v>135</v>
      </c>
      <c r="D42" s="19" t="s">
        <v>136</v>
      </c>
      <c r="E42" s="19" t="s">
        <v>137</v>
      </c>
      <c r="F42" s="19" t="s">
        <v>27</v>
      </c>
      <c r="G42" s="19" t="s">
        <v>97</v>
      </c>
      <c r="H42" s="19" t="s">
        <v>43</v>
      </c>
      <c r="I42" s="19" t="s">
        <v>44</v>
      </c>
      <c r="J42" s="19" t="s">
        <v>45</v>
      </c>
      <c r="K42" s="19" t="s">
        <v>46</v>
      </c>
      <c r="L42" s="20">
        <v>2</v>
      </c>
      <c r="M42" s="19">
        <v>8900</v>
      </c>
      <c r="N42" s="19">
        <v>0.1</v>
      </c>
      <c r="O42" s="19">
        <v>17800</v>
      </c>
      <c r="P42" s="19">
        <v>1780</v>
      </c>
      <c r="Q42" s="19">
        <v>16020</v>
      </c>
      <c r="R42" s="19">
        <v>9931.24</v>
      </c>
      <c r="S42" s="19">
        <v>6088.76</v>
      </c>
      <c r="T42" s="21">
        <f>IFERROR(Raw_Data!$S42/Raw_Data!$Q42,0)</f>
        <v>0.38007240948813986</v>
      </c>
      <c r="U42" s="19" t="s">
        <v>54</v>
      </c>
      <c r="V42" s="19" t="s">
        <v>47</v>
      </c>
      <c r="W42" s="19" t="s">
        <v>65</v>
      </c>
      <c r="X42" s="19" t="s">
        <v>36</v>
      </c>
    </row>
    <row r="43" spans="1:24" x14ac:dyDescent="0.35">
      <c r="A43" s="13" t="s">
        <v>243</v>
      </c>
      <c r="B43" s="14">
        <v>45709</v>
      </c>
      <c r="C43" s="4" t="s">
        <v>24</v>
      </c>
      <c r="D43" s="4" t="s">
        <v>25</v>
      </c>
      <c r="E43" s="4" t="s">
        <v>26</v>
      </c>
      <c r="F43" s="4" t="s">
        <v>27</v>
      </c>
      <c r="G43" s="4" t="s">
        <v>28</v>
      </c>
      <c r="H43" s="4" t="s">
        <v>99</v>
      </c>
      <c r="I43" s="4" t="s">
        <v>100</v>
      </c>
      <c r="J43" s="4" t="s">
        <v>101</v>
      </c>
      <c r="K43" s="4" t="s">
        <v>102</v>
      </c>
      <c r="L43" s="15">
        <v>8</v>
      </c>
      <c r="M43" s="4">
        <v>12500</v>
      </c>
      <c r="N43" s="4">
        <v>0</v>
      </c>
      <c r="O43" s="4">
        <v>100000</v>
      </c>
      <c r="P43" s="4">
        <v>0</v>
      </c>
      <c r="Q43" s="4">
        <v>100000</v>
      </c>
      <c r="R43" s="4">
        <v>75338.649999999994</v>
      </c>
      <c r="S43" s="4">
        <v>24661.35</v>
      </c>
      <c r="T43" s="16">
        <f>IFERROR(Raw_Data!$S43/Raw_Data!$Q43,0)</f>
        <v>0.24661349999999999</v>
      </c>
      <c r="U43" s="4" t="s">
        <v>33</v>
      </c>
      <c r="V43" s="4" t="s">
        <v>88</v>
      </c>
      <c r="W43" s="4" t="s">
        <v>35</v>
      </c>
      <c r="X43" s="4" t="s">
        <v>36</v>
      </c>
    </row>
    <row r="44" spans="1:24" x14ac:dyDescent="0.35">
      <c r="A44" s="17" t="s">
        <v>308</v>
      </c>
      <c r="B44" s="18">
        <v>45710</v>
      </c>
      <c r="C44" s="19" t="s">
        <v>176</v>
      </c>
      <c r="D44" s="19" t="s">
        <v>177</v>
      </c>
      <c r="E44" s="19" t="s">
        <v>178</v>
      </c>
      <c r="F44" s="19" t="s">
        <v>108</v>
      </c>
      <c r="G44" s="19" t="s">
        <v>28</v>
      </c>
      <c r="H44" s="19" t="s">
        <v>110</v>
      </c>
      <c r="I44" s="19" t="s">
        <v>111</v>
      </c>
      <c r="J44" s="19" t="s">
        <v>101</v>
      </c>
      <c r="K44" s="19" t="s">
        <v>112</v>
      </c>
      <c r="L44" s="20">
        <v>2</v>
      </c>
      <c r="M44" s="19">
        <v>22000</v>
      </c>
      <c r="N44" s="19">
        <v>0.05</v>
      </c>
      <c r="O44" s="19">
        <v>44000</v>
      </c>
      <c r="P44" s="19">
        <v>2200</v>
      </c>
      <c r="Q44" s="19">
        <v>41800</v>
      </c>
      <c r="R44" s="19">
        <v>25085.439999999999</v>
      </c>
      <c r="S44" s="19">
        <v>16714.560000000001</v>
      </c>
      <c r="T44" s="21">
        <f>IFERROR(Raw_Data!$S44/Raw_Data!$Q44,0)</f>
        <v>0.39986985645933015</v>
      </c>
      <c r="U44" s="19" t="s">
        <v>113</v>
      </c>
      <c r="V44" s="19" t="s">
        <v>139</v>
      </c>
      <c r="W44" s="19" t="s">
        <v>48</v>
      </c>
      <c r="X44" s="19" t="s">
        <v>36</v>
      </c>
    </row>
    <row r="45" spans="1:24" x14ac:dyDescent="0.35">
      <c r="A45" s="13" t="s">
        <v>289</v>
      </c>
      <c r="B45" s="14">
        <v>45712</v>
      </c>
      <c r="C45" s="4" t="s">
        <v>135</v>
      </c>
      <c r="D45" s="4" t="s">
        <v>136</v>
      </c>
      <c r="E45" s="4" t="s">
        <v>137</v>
      </c>
      <c r="F45" s="4" t="s">
        <v>27</v>
      </c>
      <c r="G45" s="4" t="s">
        <v>97</v>
      </c>
      <c r="H45" s="4" t="s">
        <v>43</v>
      </c>
      <c r="I45" s="4" t="s">
        <v>44</v>
      </c>
      <c r="J45" s="4" t="s">
        <v>45</v>
      </c>
      <c r="K45" s="4" t="s">
        <v>46</v>
      </c>
      <c r="L45" s="15">
        <v>4</v>
      </c>
      <c r="M45" s="4">
        <v>8900</v>
      </c>
      <c r="N45" s="4">
        <v>0.1</v>
      </c>
      <c r="O45" s="4">
        <v>35600</v>
      </c>
      <c r="P45" s="4">
        <v>3560</v>
      </c>
      <c r="Q45" s="4">
        <v>-32040</v>
      </c>
      <c r="R45" s="4">
        <v>23111.38</v>
      </c>
      <c r="S45" s="4">
        <v>-8928.6200000000008</v>
      </c>
      <c r="T45" s="16">
        <f>IFERROR(Raw_Data!$S45/Raw_Data!$Q45,0)</f>
        <v>0.27867103620474409</v>
      </c>
      <c r="U45" s="4" t="s">
        <v>54</v>
      </c>
      <c r="V45" s="4" t="s">
        <v>139</v>
      </c>
      <c r="W45" s="4" t="s">
        <v>65</v>
      </c>
      <c r="X45" s="4" t="s">
        <v>49</v>
      </c>
    </row>
    <row r="46" spans="1:24" x14ac:dyDescent="0.35">
      <c r="A46" s="17" t="s">
        <v>288</v>
      </c>
      <c r="B46" s="18">
        <v>45716</v>
      </c>
      <c r="C46" s="19" t="s">
        <v>142</v>
      </c>
      <c r="D46" s="19" t="s">
        <v>143</v>
      </c>
      <c r="E46" s="19" t="s">
        <v>144</v>
      </c>
      <c r="F46" s="19" t="s">
        <v>87</v>
      </c>
      <c r="G46" s="19" t="s">
        <v>28</v>
      </c>
      <c r="H46" s="19" t="s">
        <v>61</v>
      </c>
      <c r="I46" s="19" t="s">
        <v>62</v>
      </c>
      <c r="J46" s="19" t="s">
        <v>45</v>
      </c>
      <c r="K46" s="19" t="s">
        <v>63</v>
      </c>
      <c r="L46" s="20">
        <v>7</v>
      </c>
      <c r="M46" s="19">
        <v>1800</v>
      </c>
      <c r="N46" s="19">
        <v>0</v>
      </c>
      <c r="O46" s="19">
        <v>12600</v>
      </c>
      <c r="P46" s="19">
        <v>0</v>
      </c>
      <c r="Q46" s="19">
        <v>12600</v>
      </c>
      <c r="R46" s="19">
        <v>10229.790000000001</v>
      </c>
      <c r="S46" s="19">
        <v>2370.21</v>
      </c>
      <c r="T46" s="21">
        <f>IFERROR(Raw_Data!$S46/Raw_Data!$Q46,0)</f>
        <v>0.18811190476190476</v>
      </c>
      <c r="U46" s="19" t="s">
        <v>33</v>
      </c>
      <c r="V46" s="19" t="s">
        <v>139</v>
      </c>
      <c r="W46" s="19" t="s">
        <v>65</v>
      </c>
      <c r="X46" s="19" t="s">
        <v>36</v>
      </c>
    </row>
    <row r="47" spans="1:24" x14ac:dyDescent="0.35">
      <c r="A47" s="13" t="s">
        <v>223</v>
      </c>
      <c r="B47" s="14">
        <v>45718</v>
      </c>
      <c r="C47" s="4" t="s">
        <v>135</v>
      </c>
      <c r="D47" s="4" t="s">
        <v>136</v>
      </c>
      <c r="E47" s="4" t="s">
        <v>137</v>
      </c>
      <c r="F47" s="4" t="s">
        <v>27</v>
      </c>
      <c r="G47" s="4" t="s">
        <v>97</v>
      </c>
      <c r="H47" s="4" t="s">
        <v>151</v>
      </c>
      <c r="I47" s="4" t="s">
        <v>152</v>
      </c>
      <c r="J47" s="4" t="s">
        <v>45</v>
      </c>
      <c r="K47" s="4" t="s">
        <v>153</v>
      </c>
      <c r="L47" s="15">
        <v>7</v>
      </c>
      <c r="M47" s="4">
        <v>3200</v>
      </c>
      <c r="N47" s="4">
        <v>0.15</v>
      </c>
      <c r="O47" s="4">
        <v>22400</v>
      </c>
      <c r="P47" s="4">
        <v>3360</v>
      </c>
      <c r="Q47" s="4">
        <v>-19040</v>
      </c>
      <c r="R47" s="4">
        <v>13767.26</v>
      </c>
      <c r="S47" s="4">
        <v>-5272.74</v>
      </c>
      <c r="T47" s="16">
        <f>IFERROR(Raw_Data!$S47/Raw_Data!$Q47,0)</f>
        <v>0.27692962184873948</v>
      </c>
      <c r="U47" s="4" t="s">
        <v>54</v>
      </c>
      <c r="V47" s="4" t="s">
        <v>70</v>
      </c>
      <c r="W47" s="4" t="s">
        <v>55</v>
      </c>
      <c r="X47" s="4" t="s">
        <v>49</v>
      </c>
    </row>
    <row r="48" spans="1:24" x14ac:dyDescent="0.35">
      <c r="A48" s="17" t="s">
        <v>218</v>
      </c>
      <c r="B48" s="18">
        <v>45719</v>
      </c>
      <c r="C48" s="19" t="s">
        <v>84</v>
      </c>
      <c r="D48" s="19" t="s">
        <v>85</v>
      </c>
      <c r="E48" s="19" t="s">
        <v>86</v>
      </c>
      <c r="F48" s="19" t="s">
        <v>87</v>
      </c>
      <c r="G48" s="19" t="s">
        <v>42</v>
      </c>
      <c r="H48" s="19" t="s">
        <v>72</v>
      </c>
      <c r="I48" s="19" t="s">
        <v>73</v>
      </c>
      <c r="J48" s="19" t="s">
        <v>45</v>
      </c>
      <c r="K48" s="19" t="s">
        <v>74</v>
      </c>
      <c r="L48" s="20">
        <v>3</v>
      </c>
      <c r="M48" s="19">
        <v>4200</v>
      </c>
      <c r="N48" s="19">
        <v>0</v>
      </c>
      <c r="O48" s="19">
        <v>12600</v>
      </c>
      <c r="P48" s="19">
        <v>0</v>
      </c>
      <c r="Q48" s="19">
        <v>12600</v>
      </c>
      <c r="R48" s="19">
        <v>7962.35</v>
      </c>
      <c r="S48" s="19">
        <v>4637.6499999999996</v>
      </c>
      <c r="T48" s="21">
        <f>IFERROR(Raw_Data!$S48/Raw_Data!$Q48,0)</f>
        <v>0.36806746031746029</v>
      </c>
      <c r="U48" s="19" t="s">
        <v>113</v>
      </c>
      <c r="V48" s="19" t="s">
        <v>34</v>
      </c>
      <c r="W48" s="19" t="s">
        <v>65</v>
      </c>
      <c r="X48" s="19" t="s">
        <v>36</v>
      </c>
    </row>
    <row r="49" spans="1:24" x14ac:dyDescent="0.35">
      <c r="A49" s="13" t="s">
        <v>202</v>
      </c>
      <c r="B49" s="14">
        <v>45723</v>
      </c>
      <c r="C49" s="4" t="s">
        <v>105</v>
      </c>
      <c r="D49" s="4" t="s">
        <v>106</v>
      </c>
      <c r="E49" s="4" t="s">
        <v>107</v>
      </c>
      <c r="F49" s="4" t="s">
        <v>108</v>
      </c>
      <c r="G49" s="4" t="s">
        <v>28</v>
      </c>
      <c r="H49" s="4" t="s">
        <v>99</v>
      </c>
      <c r="I49" s="4" t="s">
        <v>100</v>
      </c>
      <c r="J49" s="4" t="s">
        <v>101</v>
      </c>
      <c r="K49" s="4" t="s">
        <v>102</v>
      </c>
      <c r="L49" s="15">
        <v>1</v>
      </c>
      <c r="M49" s="4">
        <v>12500</v>
      </c>
      <c r="N49" s="4">
        <v>0.1</v>
      </c>
      <c r="O49" s="4">
        <v>12500</v>
      </c>
      <c r="P49" s="4">
        <v>1250</v>
      </c>
      <c r="Q49" s="4">
        <v>0</v>
      </c>
      <c r="R49" s="4">
        <v>8123.11</v>
      </c>
      <c r="S49" s="4">
        <v>0</v>
      </c>
      <c r="T49" s="16">
        <f>IFERROR(Raw_Data!$S49/Raw_Data!$Q49,0)</f>
        <v>0</v>
      </c>
      <c r="U49" s="4" t="s">
        <v>54</v>
      </c>
      <c r="V49" s="4" t="s">
        <v>47</v>
      </c>
      <c r="W49" s="4" t="s">
        <v>55</v>
      </c>
      <c r="X49" s="4" t="s">
        <v>75</v>
      </c>
    </row>
    <row r="50" spans="1:24" x14ac:dyDescent="0.35">
      <c r="A50" s="17" t="s">
        <v>304</v>
      </c>
      <c r="B50" s="18">
        <v>45725</v>
      </c>
      <c r="C50" s="19" t="s">
        <v>57</v>
      </c>
      <c r="D50" s="19" t="s">
        <v>58</v>
      </c>
      <c r="E50" s="19" t="s">
        <v>59</v>
      </c>
      <c r="F50" s="19" t="s">
        <v>60</v>
      </c>
      <c r="G50" s="19" t="s">
        <v>42</v>
      </c>
      <c r="H50" s="19" t="s">
        <v>162</v>
      </c>
      <c r="I50" s="19" t="s">
        <v>163</v>
      </c>
      <c r="J50" s="19" t="s">
        <v>31</v>
      </c>
      <c r="K50" s="19" t="s">
        <v>164</v>
      </c>
      <c r="L50" s="20">
        <v>7</v>
      </c>
      <c r="M50" s="19">
        <v>16500</v>
      </c>
      <c r="N50" s="19">
        <v>0</v>
      </c>
      <c r="O50" s="19">
        <v>115500</v>
      </c>
      <c r="P50" s="19">
        <v>0</v>
      </c>
      <c r="Q50" s="19">
        <v>0</v>
      </c>
      <c r="R50" s="19">
        <v>71487.490000000005</v>
      </c>
      <c r="S50" s="19">
        <v>0</v>
      </c>
      <c r="T50" s="21">
        <f>IFERROR(Raw_Data!$S50/Raw_Data!$Q50,0)</f>
        <v>0</v>
      </c>
      <c r="U50" s="19" t="s">
        <v>33</v>
      </c>
      <c r="V50" s="19" t="s">
        <v>88</v>
      </c>
      <c r="W50" s="19" t="s">
        <v>55</v>
      </c>
      <c r="X50" s="19" t="s">
        <v>75</v>
      </c>
    </row>
    <row r="51" spans="1:24" x14ac:dyDescent="0.35">
      <c r="A51" s="13" t="s">
        <v>285</v>
      </c>
      <c r="B51" s="14">
        <v>45728</v>
      </c>
      <c r="C51" s="4" t="s">
        <v>131</v>
      </c>
      <c r="D51" s="4" t="s">
        <v>132</v>
      </c>
      <c r="E51" s="4" t="s">
        <v>133</v>
      </c>
      <c r="F51" s="4" t="s">
        <v>27</v>
      </c>
      <c r="G51" s="4" t="s">
        <v>28</v>
      </c>
      <c r="H51" s="4" t="s">
        <v>151</v>
      </c>
      <c r="I51" s="4" t="s">
        <v>152</v>
      </c>
      <c r="J51" s="4" t="s">
        <v>45</v>
      </c>
      <c r="K51" s="4" t="s">
        <v>153</v>
      </c>
      <c r="L51" s="15">
        <v>5</v>
      </c>
      <c r="M51" s="4">
        <v>3200</v>
      </c>
      <c r="N51" s="4">
        <v>0.05</v>
      </c>
      <c r="O51" s="4">
        <v>16000</v>
      </c>
      <c r="P51" s="4">
        <v>800</v>
      </c>
      <c r="Q51" s="4">
        <v>15200</v>
      </c>
      <c r="R51" s="4">
        <v>10012.99</v>
      </c>
      <c r="S51" s="4">
        <v>5187.01</v>
      </c>
      <c r="T51" s="16">
        <f>IFERROR(Raw_Data!$S51/Raw_Data!$Q51,0)</f>
        <v>0.34125065789473685</v>
      </c>
      <c r="U51" s="4" t="s">
        <v>113</v>
      </c>
      <c r="V51" s="4" t="s">
        <v>34</v>
      </c>
      <c r="W51" s="4" t="s">
        <v>55</v>
      </c>
      <c r="X51" s="4" t="s">
        <v>36</v>
      </c>
    </row>
    <row r="52" spans="1:24" x14ac:dyDescent="0.35">
      <c r="A52" s="17" t="s">
        <v>260</v>
      </c>
      <c r="B52" s="18">
        <v>45729</v>
      </c>
      <c r="C52" s="19" t="s">
        <v>142</v>
      </c>
      <c r="D52" s="19" t="s">
        <v>143</v>
      </c>
      <c r="E52" s="19" t="s">
        <v>144</v>
      </c>
      <c r="F52" s="19" t="s">
        <v>87</v>
      </c>
      <c r="G52" s="19" t="s">
        <v>28</v>
      </c>
      <c r="H52" s="19" t="s">
        <v>80</v>
      </c>
      <c r="I52" s="19" t="s">
        <v>81</v>
      </c>
      <c r="J52" s="19" t="s">
        <v>31</v>
      </c>
      <c r="K52" s="19" t="s">
        <v>82</v>
      </c>
      <c r="L52" s="20">
        <v>1</v>
      </c>
      <c r="M52" s="19">
        <v>62000</v>
      </c>
      <c r="N52" s="19">
        <v>0</v>
      </c>
      <c r="O52" s="19">
        <v>62000</v>
      </c>
      <c r="P52" s="19">
        <v>0</v>
      </c>
      <c r="Q52" s="19">
        <v>62000</v>
      </c>
      <c r="R52" s="19">
        <v>40488.949999999997</v>
      </c>
      <c r="S52" s="19">
        <v>21511.05</v>
      </c>
      <c r="T52" s="21">
        <f>IFERROR(Raw_Data!$S52/Raw_Data!$Q52,0)</f>
        <v>0.34695241935483867</v>
      </c>
      <c r="U52" s="19" t="s">
        <v>54</v>
      </c>
      <c r="V52" s="19" t="s">
        <v>47</v>
      </c>
      <c r="W52" s="19" t="s">
        <v>48</v>
      </c>
      <c r="X52" s="19" t="s">
        <v>36</v>
      </c>
    </row>
    <row r="53" spans="1:24" x14ac:dyDescent="0.35">
      <c r="A53" s="13" t="s">
        <v>352</v>
      </c>
      <c r="B53" s="14">
        <v>45729</v>
      </c>
      <c r="C53" s="4" t="s">
        <v>67</v>
      </c>
      <c r="D53" s="4" t="s">
        <v>68</v>
      </c>
      <c r="E53" s="4" t="s">
        <v>69</v>
      </c>
      <c r="F53" s="4" t="s">
        <v>41</v>
      </c>
      <c r="G53" s="4" t="s">
        <v>28</v>
      </c>
      <c r="H53" s="4" t="s">
        <v>110</v>
      </c>
      <c r="I53" s="4" t="s">
        <v>111</v>
      </c>
      <c r="J53" s="4" t="s">
        <v>101</v>
      </c>
      <c r="K53" s="4" t="s">
        <v>112</v>
      </c>
      <c r="L53" s="15">
        <v>6</v>
      </c>
      <c r="M53" s="4">
        <v>22000</v>
      </c>
      <c r="N53" s="4">
        <v>0.15</v>
      </c>
      <c r="O53" s="4">
        <v>132000</v>
      </c>
      <c r="P53" s="4">
        <v>19800</v>
      </c>
      <c r="Q53" s="4">
        <v>112200</v>
      </c>
      <c r="R53" s="4">
        <v>73653.38</v>
      </c>
      <c r="S53" s="4">
        <v>38546.620000000003</v>
      </c>
      <c r="T53" s="16">
        <f>IFERROR(Raw_Data!$S53/Raw_Data!$Q53,0)</f>
        <v>0.34355276292335118</v>
      </c>
      <c r="U53" s="4" t="s">
        <v>33</v>
      </c>
      <c r="V53" s="4" t="s">
        <v>34</v>
      </c>
      <c r="W53" s="4" t="s">
        <v>65</v>
      </c>
      <c r="X53" s="4" t="s">
        <v>36</v>
      </c>
    </row>
    <row r="54" spans="1:24" x14ac:dyDescent="0.35">
      <c r="A54" s="17" t="s">
        <v>419</v>
      </c>
      <c r="B54" s="18">
        <v>45729</v>
      </c>
      <c r="C54" s="19" t="s">
        <v>94</v>
      </c>
      <c r="D54" s="19" t="s">
        <v>95</v>
      </c>
      <c r="E54" s="19" t="s">
        <v>96</v>
      </c>
      <c r="F54" s="19" t="s">
        <v>60</v>
      </c>
      <c r="G54" s="19" t="s">
        <v>97</v>
      </c>
      <c r="H54" s="19" t="s">
        <v>118</v>
      </c>
      <c r="I54" s="19" t="s">
        <v>119</v>
      </c>
      <c r="J54" s="19" t="s">
        <v>31</v>
      </c>
      <c r="K54" s="19" t="s">
        <v>120</v>
      </c>
      <c r="L54" s="20">
        <v>5</v>
      </c>
      <c r="M54" s="19">
        <v>14500</v>
      </c>
      <c r="N54" s="19">
        <v>0.05</v>
      </c>
      <c r="O54" s="19">
        <v>72500</v>
      </c>
      <c r="P54" s="19">
        <v>3625</v>
      </c>
      <c r="Q54" s="19">
        <v>68875</v>
      </c>
      <c r="R54" s="19">
        <v>44384.26</v>
      </c>
      <c r="S54" s="19">
        <v>24490.74</v>
      </c>
      <c r="T54" s="21">
        <f>IFERROR(Raw_Data!$S54/Raw_Data!$Q54,0)</f>
        <v>0.35558243194192379</v>
      </c>
      <c r="U54" s="19" t="s">
        <v>54</v>
      </c>
      <c r="V54" s="19" t="s">
        <v>88</v>
      </c>
      <c r="W54" s="19" t="s">
        <v>55</v>
      </c>
      <c r="X54" s="19" t="s">
        <v>36</v>
      </c>
    </row>
    <row r="55" spans="1:24" x14ac:dyDescent="0.35">
      <c r="A55" s="13" t="s">
        <v>98</v>
      </c>
      <c r="B55" s="14">
        <v>45731</v>
      </c>
      <c r="C55" s="4" t="s">
        <v>94</v>
      </c>
      <c r="D55" s="4" t="s">
        <v>95</v>
      </c>
      <c r="E55" s="4" t="s">
        <v>96</v>
      </c>
      <c r="F55" s="4" t="s">
        <v>60</v>
      </c>
      <c r="G55" s="4" t="s">
        <v>97</v>
      </c>
      <c r="H55" s="4" t="s">
        <v>99</v>
      </c>
      <c r="I55" s="4" t="s">
        <v>100</v>
      </c>
      <c r="J55" s="4" t="s">
        <v>101</v>
      </c>
      <c r="K55" s="4" t="s">
        <v>102</v>
      </c>
      <c r="L55" s="15">
        <v>5</v>
      </c>
      <c r="M55" s="4">
        <v>12500</v>
      </c>
      <c r="N55" s="4">
        <v>0</v>
      </c>
      <c r="O55" s="4">
        <v>62500</v>
      </c>
      <c r="P55" s="4">
        <v>0</v>
      </c>
      <c r="Q55" s="4">
        <v>-62500</v>
      </c>
      <c r="R55" s="4">
        <v>39949.410000000003</v>
      </c>
      <c r="S55" s="4">
        <v>-22550.59</v>
      </c>
      <c r="T55" s="16">
        <f>IFERROR(Raw_Data!$S55/Raw_Data!$Q55,0)</f>
        <v>0.36080943999999998</v>
      </c>
      <c r="U55" s="4" t="s">
        <v>33</v>
      </c>
      <c r="V55" s="4" t="s">
        <v>64</v>
      </c>
      <c r="W55" s="4" t="s">
        <v>55</v>
      </c>
      <c r="X55" s="4" t="s">
        <v>49</v>
      </c>
    </row>
    <row r="56" spans="1:24" x14ac:dyDescent="0.35">
      <c r="A56" s="17" t="s">
        <v>415</v>
      </c>
      <c r="B56" s="18">
        <v>45736</v>
      </c>
      <c r="C56" s="19" t="s">
        <v>135</v>
      </c>
      <c r="D56" s="19" t="s">
        <v>136</v>
      </c>
      <c r="E56" s="19" t="s">
        <v>137</v>
      </c>
      <c r="F56" s="19" t="s">
        <v>27</v>
      </c>
      <c r="G56" s="19" t="s">
        <v>97</v>
      </c>
      <c r="H56" s="19" t="s">
        <v>61</v>
      </c>
      <c r="I56" s="19" t="s">
        <v>62</v>
      </c>
      <c r="J56" s="19" t="s">
        <v>45</v>
      </c>
      <c r="K56" s="19" t="s">
        <v>63</v>
      </c>
      <c r="L56" s="20">
        <v>7</v>
      </c>
      <c r="M56" s="19">
        <v>1800</v>
      </c>
      <c r="N56" s="19">
        <v>0.2</v>
      </c>
      <c r="O56" s="19">
        <v>12600</v>
      </c>
      <c r="P56" s="19">
        <v>2520</v>
      </c>
      <c r="Q56" s="19">
        <v>10080</v>
      </c>
      <c r="R56" s="19">
        <v>7742.79</v>
      </c>
      <c r="S56" s="19">
        <v>2337.21</v>
      </c>
      <c r="T56" s="21">
        <f>IFERROR(Raw_Data!$S56/Raw_Data!$Q56,0)</f>
        <v>0.23186607142857144</v>
      </c>
      <c r="U56" s="19" t="s">
        <v>33</v>
      </c>
      <c r="V56" s="19" t="s">
        <v>139</v>
      </c>
      <c r="W56" s="19" t="s">
        <v>65</v>
      </c>
      <c r="X56" s="19" t="s">
        <v>36</v>
      </c>
    </row>
    <row r="57" spans="1:24" x14ac:dyDescent="0.35">
      <c r="A57" s="13" t="s">
        <v>56</v>
      </c>
      <c r="B57" s="14">
        <v>45737</v>
      </c>
      <c r="C57" s="4" t="s">
        <v>57</v>
      </c>
      <c r="D57" s="4" t="s">
        <v>58</v>
      </c>
      <c r="E57" s="4" t="s">
        <v>59</v>
      </c>
      <c r="F57" s="4" t="s">
        <v>60</v>
      </c>
      <c r="G57" s="4" t="s">
        <v>42</v>
      </c>
      <c r="H57" s="4" t="s">
        <v>61</v>
      </c>
      <c r="I57" s="4" t="s">
        <v>62</v>
      </c>
      <c r="J57" s="4" t="s">
        <v>45</v>
      </c>
      <c r="K57" s="4" t="s">
        <v>63</v>
      </c>
      <c r="L57" s="15">
        <v>4</v>
      </c>
      <c r="M57" s="4">
        <v>1800</v>
      </c>
      <c r="N57" s="4">
        <v>0.05</v>
      </c>
      <c r="O57" s="4">
        <v>7200</v>
      </c>
      <c r="P57" s="4">
        <v>360</v>
      </c>
      <c r="Q57" s="4">
        <v>6840</v>
      </c>
      <c r="R57" s="4">
        <v>4134.99</v>
      </c>
      <c r="S57" s="4">
        <v>2705.01</v>
      </c>
      <c r="T57" s="16">
        <f>IFERROR(Raw_Data!$S57/Raw_Data!$Q57,0)</f>
        <v>0.39546929824561405</v>
      </c>
      <c r="U57" s="4" t="s">
        <v>54</v>
      </c>
      <c r="V57" s="4" t="s">
        <v>64</v>
      </c>
      <c r="W57" s="4" t="s">
        <v>65</v>
      </c>
      <c r="X57" s="4" t="s">
        <v>36</v>
      </c>
    </row>
    <row r="58" spans="1:24" x14ac:dyDescent="0.35">
      <c r="A58" s="17" t="s">
        <v>303</v>
      </c>
      <c r="B58" s="18">
        <v>45737</v>
      </c>
      <c r="C58" s="19" t="s">
        <v>77</v>
      </c>
      <c r="D58" s="19" t="s">
        <v>78</v>
      </c>
      <c r="E58" s="19" t="s">
        <v>79</v>
      </c>
      <c r="F58" s="19" t="s">
        <v>60</v>
      </c>
      <c r="G58" s="19" t="s">
        <v>28</v>
      </c>
      <c r="H58" s="19" t="s">
        <v>118</v>
      </c>
      <c r="I58" s="19" t="s">
        <v>119</v>
      </c>
      <c r="J58" s="19" t="s">
        <v>31</v>
      </c>
      <c r="K58" s="19" t="s">
        <v>120</v>
      </c>
      <c r="L58" s="20">
        <v>2</v>
      </c>
      <c r="M58" s="19">
        <v>14500</v>
      </c>
      <c r="N58" s="19">
        <v>0.05</v>
      </c>
      <c r="O58" s="19">
        <v>29000</v>
      </c>
      <c r="P58" s="19">
        <v>1450</v>
      </c>
      <c r="Q58" s="19">
        <v>27550</v>
      </c>
      <c r="R58" s="19">
        <v>21562.36</v>
      </c>
      <c r="S58" s="19">
        <v>5987.64</v>
      </c>
      <c r="T58" s="21">
        <f>IFERROR(Raw_Data!$S58/Raw_Data!$Q58,0)</f>
        <v>0.2173372050816697</v>
      </c>
      <c r="U58" s="19" t="s">
        <v>33</v>
      </c>
      <c r="V58" s="19" t="s">
        <v>70</v>
      </c>
      <c r="W58" s="19" t="s">
        <v>35</v>
      </c>
      <c r="X58" s="19" t="s">
        <v>36</v>
      </c>
    </row>
    <row r="59" spans="1:24" x14ac:dyDescent="0.35">
      <c r="A59" s="13" t="s">
        <v>282</v>
      </c>
      <c r="B59" s="14">
        <v>45738</v>
      </c>
      <c r="C59" s="4" t="s">
        <v>146</v>
      </c>
      <c r="D59" s="4" t="s">
        <v>147</v>
      </c>
      <c r="E59" s="4" t="s">
        <v>148</v>
      </c>
      <c r="F59" s="4" t="s">
        <v>87</v>
      </c>
      <c r="G59" s="4" t="s">
        <v>28</v>
      </c>
      <c r="H59" s="4" t="s">
        <v>118</v>
      </c>
      <c r="I59" s="4" t="s">
        <v>119</v>
      </c>
      <c r="J59" s="4" t="s">
        <v>31</v>
      </c>
      <c r="K59" s="4" t="s">
        <v>120</v>
      </c>
      <c r="L59" s="15">
        <v>1</v>
      </c>
      <c r="M59" s="4">
        <v>14500</v>
      </c>
      <c r="N59" s="4">
        <v>0.2</v>
      </c>
      <c r="O59" s="4">
        <v>14500</v>
      </c>
      <c r="P59" s="4">
        <v>2900</v>
      </c>
      <c r="Q59" s="4">
        <v>11600</v>
      </c>
      <c r="R59" s="4">
        <v>6955.12</v>
      </c>
      <c r="S59" s="4">
        <v>4644.88</v>
      </c>
      <c r="T59" s="16">
        <f>IFERROR(Raw_Data!$S59/Raw_Data!$Q59,0)</f>
        <v>0.40042068965517241</v>
      </c>
      <c r="U59" s="4" t="s">
        <v>33</v>
      </c>
      <c r="V59" s="4" t="s">
        <v>139</v>
      </c>
      <c r="W59" s="4" t="s">
        <v>55</v>
      </c>
      <c r="X59" s="4" t="s">
        <v>36</v>
      </c>
    </row>
    <row r="60" spans="1:24" x14ac:dyDescent="0.35">
      <c r="A60" s="17" t="s">
        <v>121</v>
      </c>
      <c r="B60" s="18">
        <v>45740</v>
      </c>
      <c r="C60" s="19" t="s">
        <v>122</v>
      </c>
      <c r="D60" s="19" t="s">
        <v>123</v>
      </c>
      <c r="E60" s="19" t="s">
        <v>124</v>
      </c>
      <c r="F60" s="19" t="s">
        <v>87</v>
      </c>
      <c r="G60" s="19" t="s">
        <v>42</v>
      </c>
      <c r="H60" s="19" t="s">
        <v>72</v>
      </c>
      <c r="I60" s="19" t="s">
        <v>73</v>
      </c>
      <c r="J60" s="19" t="s">
        <v>45</v>
      </c>
      <c r="K60" s="19" t="s">
        <v>74</v>
      </c>
      <c r="L60" s="20">
        <v>1</v>
      </c>
      <c r="M60" s="19">
        <v>4200</v>
      </c>
      <c r="N60" s="19">
        <v>0.15</v>
      </c>
      <c r="O60" s="19">
        <v>4200</v>
      </c>
      <c r="P60" s="19">
        <v>630</v>
      </c>
      <c r="Q60" s="19">
        <v>3570</v>
      </c>
      <c r="R60" s="19">
        <v>2348.34</v>
      </c>
      <c r="S60" s="19">
        <v>1221.6600000000001</v>
      </c>
      <c r="T60" s="21">
        <f>IFERROR(Raw_Data!$S60/Raw_Data!$Q60,0)</f>
        <v>0.34220168067226892</v>
      </c>
      <c r="U60" s="19" t="s">
        <v>54</v>
      </c>
      <c r="V60" s="19" t="s">
        <v>64</v>
      </c>
      <c r="W60" s="19" t="s">
        <v>65</v>
      </c>
      <c r="X60" s="19" t="s">
        <v>36</v>
      </c>
    </row>
    <row r="61" spans="1:24" x14ac:dyDescent="0.35">
      <c r="A61" s="13" t="s">
        <v>126</v>
      </c>
      <c r="B61" s="14">
        <v>45742</v>
      </c>
      <c r="C61" s="4" t="s">
        <v>127</v>
      </c>
      <c r="D61" s="4" t="s">
        <v>128</v>
      </c>
      <c r="E61" s="4" t="s">
        <v>129</v>
      </c>
      <c r="F61" s="4" t="s">
        <v>27</v>
      </c>
      <c r="G61" s="4" t="s">
        <v>28</v>
      </c>
      <c r="H61" s="4" t="s">
        <v>110</v>
      </c>
      <c r="I61" s="4" t="s">
        <v>111</v>
      </c>
      <c r="J61" s="4" t="s">
        <v>101</v>
      </c>
      <c r="K61" s="4" t="s">
        <v>112</v>
      </c>
      <c r="L61" s="15">
        <v>5</v>
      </c>
      <c r="M61" s="4">
        <v>22000</v>
      </c>
      <c r="N61" s="4">
        <v>0.15</v>
      </c>
      <c r="O61" s="4">
        <v>110000</v>
      </c>
      <c r="P61" s="4">
        <v>16500</v>
      </c>
      <c r="Q61" s="4">
        <v>93500</v>
      </c>
      <c r="R61" s="4">
        <v>73807.399999999994</v>
      </c>
      <c r="S61" s="4">
        <v>19692.599999999999</v>
      </c>
      <c r="T61" s="16">
        <f>IFERROR(Raw_Data!$S61/Raw_Data!$Q61,0)</f>
        <v>0.21061604278074864</v>
      </c>
      <c r="U61" s="4" t="s">
        <v>54</v>
      </c>
      <c r="V61" s="4" t="s">
        <v>70</v>
      </c>
      <c r="W61" s="4" t="s">
        <v>48</v>
      </c>
      <c r="X61" s="4" t="s">
        <v>36</v>
      </c>
    </row>
    <row r="62" spans="1:24" x14ac:dyDescent="0.35">
      <c r="A62" s="17" t="s">
        <v>150</v>
      </c>
      <c r="B62" s="18">
        <v>45743</v>
      </c>
      <c r="C62" s="19" t="s">
        <v>135</v>
      </c>
      <c r="D62" s="19" t="s">
        <v>136</v>
      </c>
      <c r="E62" s="19" t="s">
        <v>137</v>
      </c>
      <c r="F62" s="19" t="s">
        <v>27</v>
      </c>
      <c r="G62" s="19" t="s">
        <v>97</v>
      </c>
      <c r="H62" s="19" t="s">
        <v>151</v>
      </c>
      <c r="I62" s="19" t="s">
        <v>152</v>
      </c>
      <c r="J62" s="19" t="s">
        <v>45</v>
      </c>
      <c r="K62" s="19" t="s">
        <v>153</v>
      </c>
      <c r="L62" s="20">
        <v>7</v>
      </c>
      <c r="M62" s="19">
        <v>3200</v>
      </c>
      <c r="N62" s="19">
        <v>0.1</v>
      </c>
      <c r="O62" s="19">
        <v>22400</v>
      </c>
      <c r="P62" s="19">
        <v>2240</v>
      </c>
      <c r="Q62" s="19">
        <v>20160</v>
      </c>
      <c r="R62" s="19">
        <v>14021.8</v>
      </c>
      <c r="S62" s="19">
        <v>6138.2</v>
      </c>
      <c r="T62" s="21">
        <f>IFERROR(Raw_Data!$S62/Raw_Data!$Q62,0)</f>
        <v>0.30447420634920636</v>
      </c>
      <c r="U62" s="19" t="s">
        <v>54</v>
      </c>
      <c r="V62" s="19" t="s">
        <v>88</v>
      </c>
      <c r="W62" s="19" t="s">
        <v>55</v>
      </c>
      <c r="X62" s="19" t="s">
        <v>36</v>
      </c>
    </row>
    <row r="63" spans="1:24" x14ac:dyDescent="0.35">
      <c r="A63" s="13" t="s">
        <v>255</v>
      </c>
      <c r="B63" s="14">
        <v>45747</v>
      </c>
      <c r="C63" s="4" t="s">
        <v>57</v>
      </c>
      <c r="D63" s="4" t="s">
        <v>58</v>
      </c>
      <c r="E63" s="4" t="s">
        <v>59</v>
      </c>
      <c r="F63" s="4" t="s">
        <v>60</v>
      </c>
      <c r="G63" s="4" t="s">
        <v>42</v>
      </c>
      <c r="H63" s="4" t="s">
        <v>43</v>
      </c>
      <c r="I63" s="4" t="s">
        <v>44</v>
      </c>
      <c r="J63" s="4" t="s">
        <v>45</v>
      </c>
      <c r="K63" s="4" t="s">
        <v>46</v>
      </c>
      <c r="L63" s="15">
        <v>4</v>
      </c>
      <c r="M63" s="4">
        <v>8900</v>
      </c>
      <c r="N63" s="4">
        <v>0</v>
      </c>
      <c r="O63" s="4">
        <v>35600</v>
      </c>
      <c r="P63" s="4">
        <v>0</v>
      </c>
      <c r="Q63" s="4">
        <v>35600</v>
      </c>
      <c r="R63" s="4">
        <v>27367.97</v>
      </c>
      <c r="S63" s="4">
        <v>8232.0300000000007</v>
      </c>
      <c r="T63" s="16">
        <f>IFERROR(Raw_Data!$S63/Raw_Data!$Q63,0)</f>
        <v>0.231236797752809</v>
      </c>
      <c r="U63" s="4" t="s">
        <v>33</v>
      </c>
      <c r="V63" s="4" t="s">
        <v>70</v>
      </c>
      <c r="W63" s="4" t="s">
        <v>65</v>
      </c>
      <c r="X63" s="4" t="s">
        <v>36</v>
      </c>
    </row>
    <row r="64" spans="1:24" x14ac:dyDescent="0.35">
      <c r="A64" s="17" t="s">
        <v>366</v>
      </c>
      <c r="B64" s="18">
        <v>45747</v>
      </c>
      <c r="C64" s="19" t="s">
        <v>51</v>
      </c>
      <c r="D64" s="19" t="s">
        <v>52</v>
      </c>
      <c r="E64" s="19" t="s">
        <v>53</v>
      </c>
      <c r="F64" s="19" t="s">
        <v>27</v>
      </c>
      <c r="G64" s="19" t="s">
        <v>28</v>
      </c>
      <c r="H64" s="19" t="s">
        <v>29</v>
      </c>
      <c r="I64" s="19" t="s">
        <v>30</v>
      </c>
      <c r="J64" s="19" t="s">
        <v>31</v>
      </c>
      <c r="K64" s="19" t="s">
        <v>32</v>
      </c>
      <c r="L64" s="20">
        <v>7</v>
      </c>
      <c r="M64" s="19">
        <v>78000</v>
      </c>
      <c r="N64" s="19">
        <v>0</v>
      </c>
      <c r="O64" s="19">
        <v>546000</v>
      </c>
      <c r="P64" s="19">
        <v>0</v>
      </c>
      <c r="Q64" s="19">
        <v>546000</v>
      </c>
      <c r="R64" s="19">
        <v>439061.22</v>
      </c>
      <c r="S64" s="19">
        <v>106938.78</v>
      </c>
      <c r="T64" s="21">
        <f>IFERROR(Raw_Data!$S64/Raw_Data!$Q64,0)</f>
        <v>0.19585857142857144</v>
      </c>
      <c r="U64" s="19" t="s">
        <v>113</v>
      </c>
      <c r="V64" s="19" t="s">
        <v>139</v>
      </c>
      <c r="W64" s="19" t="s">
        <v>48</v>
      </c>
      <c r="X64" s="19" t="s">
        <v>36</v>
      </c>
    </row>
    <row r="65" spans="1:24" x14ac:dyDescent="0.35">
      <c r="A65" s="13" t="s">
        <v>180</v>
      </c>
      <c r="B65" s="14">
        <v>45748</v>
      </c>
      <c r="C65" s="4" t="s">
        <v>77</v>
      </c>
      <c r="D65" s="4" t="s">
        <v>78</v>
      </c>
      <c r="E65" s="4" t="s">
        <v>79</v>
      </c>
      <c r="F65" s="4" t="s">
        <v>60</v>
      </c>
      <c r="G65" s="4" t="s">
        <v>28</v>
      </c>
      <c r="H65" s="4" t="s">
        <v>118</v>
      </c>
      <c r="I65" s="4" t="s">
        <v>119</v>
      </c>
      <c r="J65" s="4" t="s">
        <v>31</v>
      </c>
      <c r="K65" s="4" t="s">
        <v>120</v>
      </c>
      <c r="L65" s="15">
        <v>7</v>
      </c>
      <c r="M65" s="4">
        <v>14500</v>
      </c>
      <c r="N65" s="4">
        <v>0</v>
      </c>
      <c r="O65" s="4">
        <v>101500</v>
      </c>
      <c r="P65" s="4">
        <v>0</v>
      </c>
      <c r="Q65" s="4">
        <v>101500</v>
      </c>
      <c r="R65" s="4">
        <v>63239.23</v>
      </c>
      <c r="S65" s="4">
        <v>38260.769999999997</v>
      </c>
      <c r="T65" s="16">
        <f>IFERROR(Raw_Data!$S65/Raw_Data!$Q65,0)</f>
        <v>0.37695339901477831</v>
      </c>
      <c r="U65" s="4" t="s">
        <v>113</v>
      </c>
      <c r="V65" s="4" t="s">
        <v>34</v>
      </c>
      <c r="W65" s="4" t="s">
        <v>48</v>
      </c>
      <c r="X65" s="4" t="s">
        <v>36</v>
      </c>
    </row>
    <row r="66" spans="1:24" x14ac:dyDescent="0.35">
      <c r="A66" s="17" t="s">
        <v>423</v>
      </c>
      <c r="B66" s="18">
        <v>45748</v>
      </c>
      <c r="C66" s="19" t="s">
        <v>127</v>
      </c>
      <c r="D66" s="19" t="s">
        <v>128</v>
      </c>
      <c r="E66" s="19" t="s">
        <v>129</v>
      </c>
      <c r="F66" s="19" t="s">
        <v>27</v>
      </c>
      <c r="G66" s="19" t="s">
        <v>28</v>
      </c>
      <c r="H66" s="19" t="s">
        <v>72</v>
      </c>
      <c r="I66" s="19" t="s">
        <v>73</v>
      </c>
      <c r="J66" s="19" t="s">
        <v>45</v>
      </c>
      <c r="K66" s="19" t="s">
        <v>74</v>
      </c>
      <c r="L66" s="20">
        <v>7</v>
      </c>
      <c r="M66" s="19">
        <v>4200</v>
      </c>
      <c r="N66" s="19">
        <v>0.05</v>
      </c>
      <c r="O66" s="19">
        <v>29400</v>
      </c>
      <c r="P66" s="19">
        <v>1470</v>
      </c>
      <c r="Q66" s="19">
        <v>0</v>
      </c>
      <c r="R66" s="19">
        <v>18153.04</v>
      </c>
      <c r="S66" s="19">
        <v>0</v>
      </c>
      <c r="T66" s="21">
        <f>IFERROR(Raw_Data!$S66/Raw_Data!$Q66,0)</f>
        <v>0</v>
      </c>
      <c r="U66" s="19" t="s">
        <v>33</v>
      </c>
      <c r="V66" s="19" t="s">
        <v>139</v>
      </c>
      <c r="W66" s="19" t="s">
        <v>48</v>
      </c>
      <c r="X66" s="19" t="s">
        <v>75</v>
      </c>
    </row>
    <row r="67" spans="1:24" x14ac:dyDescent="0.35">
      <c r="A67" s="13" t="s">
        <v>203</v>
      </c>
      <c r="B67" s="14">
        <v>45751</v>
      </c>
      <c r="C67" s="4" t="s">
        <v>122</v>
      </c>
      <c r="D67" s="4" t="s">
        <v>123</v>
      </c>
      <c r="E67" s="4" t="s">
        <v>124</v>
      </c>
      <c r="F67" s="4" t="s">
        <v>87</v>
      </c>
      <c r="G67" s="4" t="s">
        <v>42</v>
      </c>
      <c r="H67" s="4" t="s">
        <v>99</v>
      </c>
      <c r="I67" s="4" t="s">
        <v>100</v>
      </c>
      <c r="J67" s="4" t="s">
        <v>101</v>
      </c>
      <c r="K67" s="4" t="s">
        <v>102</v>
      </c>
      <c r="L67" s="15">
        <v>1</v>
      </c>
      <c r="M67" s="4">
        <v>12500</v>
      </c>
      <c r="N67" s="4">
        <v>0.05</v>
      </c>
      <c r="O67" s="4">
        <v>12500</v>
      </c>
      <c r="P67" s="4">
        <v>625</v>
      </c>
      <c r="Q67" s="4">
        <v>11875</v>
      </c>
      <c r="R67" s="4">
        <v>7967.95</v>
      </c>
      <c r="S67" s="4">
        <v>3907.05</v>
      </c>
      <c r="T67" s="16">
        <f>IFERROR(Raw_Data!$S67/Raw_Data!$Q67,0)</f>
        <v>0.3290147368421053</v>
      </c>
      <c r="U67" s="4" t="s">
        <v>113</v>
      </c>
      <c r="V67" s="4" t="s">
        <v>64</v>
      </c>
      <c r="W67" s="4" t="s">
        <v>65</v>
      </c>
      <c r="X67" s="4" t="s">
        <v>36</v>
      </c>
    </row>
    <row r="68" spans="1:24" x14ac:dyDescent="0.35">
      <c r="A68" s="17" t="s">
        <v>435</v>
      </c>
      <c r="B68" s="18">
        <v>45753</v>
      </c>
      <c r="C68" s="19" t="s">
        <v>94</v>
      </c>
      <c r="D68" s="19" t="s">
        <v>95</v>
      </c>
      <c r="E68" s="19" t="s">
        <v>96</v>
      </c>
      <c r="F68" s="19" t="s">
        <v>60</v>
      </c>
      <c r="G68" s="19" t="s">
        <v>97</v>
      </c>
      <c r="H68" s="19" t="s">
        <v>118</v>
      </c>
      <c r="I68" s="19" t="s">
        <v>119</v>
      </c>
      <c r="J68" s="19" t="s">
        <v>31</v>
      </c>
      <c r="K68" s="19" t="s">
        <v>120</v>
      </c>
      <c r="L68" s="20">
        <v>7</v>
      </c>
      <c r="M68" s="19">
        <v>14500</v>
      </c>
      <c r="N68" s="19">
        <v>0.1</v>
      </c>
      <c r="O68" s="19">
        <v>101500</v>
      </c>
      <c r="P68" s="19">
        <v>10150</v>
      </c>
      <c r="Q68" s="19">
        <v>-91350</v>
      </c>
      <c r="R68" s="19">
        <v>53623.01</v>
      </c>
      <c r="S68" s="19">
        <v>-37726.99</v>
      </c>
      <c r="T68" s="21">
        <f>IFERROR(Raw_Data!$S68/Raw_Data!$Q68,0)</f>
        <v>0.41299386973180074</v>
      </c>
      <c r="U68" s="19" t="s">
        <v>54</v>
      </c>
      <c r="V68" s="19" t="s">
        <v>139</v>
      </c>
      <c r="W68" s="19" t="s">
        <v>55</v>
      </c>
      <c r="X68" s="19" t="s">
        <v>49</v>
      </c>
    </row>
    <row r="69" spans="1:24" x14ac:dyDescent="0.35">
      <c r="A69" s="13" t="s">
        <v>241</v>
      </c>
      <c r="B69" s="14">
        <v>45754</v>
      </c>
      <c r="C69" s="4" t="s">
        <v>90</v>
      </c>
      <c r="D69" s="4" t="s">
        <v>91</v>
      </c>
      <c r="E69" s="4" t="s">
        <v>92</v>
      </c>
      <c r="F69" s="4" t="s">
        <v>60</v>
      </c>
      <c r="G69" s="4" t="s">
        <v>42</v>
      </c>
      <c r="H69" s="4" t="s">
        <v>72</v>
      </c>
      <c r="I69" s="4" t="s">
        <v>73</v>
      </c>
      <c r="J69" s="4" t="s">
        <v>45</v>
      </c>
      <c r="K69" s="4" t="s">
        <v>74</v>
      </c>
      <c r="L69" s="15">
        <v>4</v>
      </c>
      <c r="M69" s="4">
        <v>4200</v>
      </c>
      <c r="N69" s="4">
        <v>0.15</v>
      </c>
      <c r="O69" s="4">
        <v>16800</v>
      </c>
      <c r="P69" s="4">
        <v>2520</v>
      </c>
      <c r="Q69" s="4">
        <v>14280</v>
      </c>
      <c r="R69" s="4">
        <v>9594.92</v>
      </c>
      <c r="S69" s="4">
        <v>4685.08</v>
      </c>
      <c r="T69" s="16">
        <f>IFERROR(Raw_Data!$S69/Raw_Data!$Q69,0)</f>
        <v>0.32808683473389355</v>
      </c>
      <c r="U69" s="4" t="s">
        <v>54</v>
      </c>
      <c r="V69" s="4" t="s">
        <v>64</v>
      </c>
      <c r="W69" s="4" t="s">
        <v>55</v>
      </c>
      <c r="X69" s="4" t="s">
        <v>36</v>
      </c>
    </row>
    <row r="70" spans="1:24" x14ac:dyDescent="0.35">
      <c r="A70" s="17" t="s">
        <v>345</v>
      </c>
      <c r="B70" s="18">
        <v>45755</v>
      </c>
      <c r="C70" s="19" t="s">
        <v>38</v>
      </c>
      <c r="D70" s="19" t="s">
        <v>39</v>
      </c>
      <c r="E70" s="19" t="s">
        <v>40</v>
      </c>
      <c r="F70" s="19" t="s">
        <v>41</v>
      </c>
      <c r="G70" s="19" t="s">
        <v>42</v>
      </c>
      <c r="H70" s="19" t="s">
        <v>72</v>
      </c>
      <c r="I70" s="19" t="s">
        <v>73</v>
      </c>
      <c r="J70" s="19" t="s">
        <v>45</v>
      </c>
      <c r="K70" s="19" t="s">
        <v>74</v>
      </c>
      <c r="L70" s="20">
        <v>3</v>
      </c>
      <c r="M70" s="19">
        <v>4200</v>
      </c>
      <c r="N70" s="19">
        <v>0.1</v>
      </c>
      <c r="O70" s="19">
        <v>12600</v>
      </c>
      <c r="P70" s="19">
        <v>1260</v>
      </c>
      <c r="Q70" s="19">
        <v>11340</v>
      </c>
      <c r="R70" s="19">
        <v>9287.83</v>
      </c>
      <c r="S70" s="19">
        <v>2052.17</v>
      </c>
      <c r="T70" s="21">
        <f>IFERROR(Raw_Data!$S70/Raw_Data!$Q70,0)</f>
        <v>0.1809673721340388</v>
      </c>
      <c r="U70" s="19" t="s">
        <v>113</v>
      </c>
      <c r="V70" s="19" t="s">
        <v>64</v>
      </c>
      <c r="W70" s="19" t="s">
        <v>55</v>
      </c>
      <c r="X70" s="19" t="s">
        <v>36</v>
      </c>
    </row>
    <row r="71" spans="1:24" x14ac:dyDescent="0.35">
      <c r="A71" s="13" t="s">
        <v>306</v>
      </c>
      <c r="B71" s="14">
        <v>45757</v>
      </c>
      <c r="C71" s="4" t="s">
        <v>131</v>
      </c>
      <c r="D71" s="4" t="s">
        <v>132</v>
      </c>
      <c r="E71" s="4" t="s">
        <v>133</v>
      </c>
      <c r="F71" s="4" t="s">
        <v>27</v>
      </c>
      <c r="G71" s="4" t="s">
        <v>28</v>
      </c>
      <c r="H71" s="4" t="s">
        <v>99</v>
      </c>
      <c r="I71" s="4" t="s">
        <v>100</v>
      </c>
      <c r="J71" s="4" t="s">
        <v>101</v>
      </c>
      <c r="K71" s="4" t="s">
        <v>102</v>
      </c>
      <c r="L71" s="15">
        <v>6</v>
      </c>
      <c r="M71" s="4">
        <v>12500</v>
      </c>
      <c r="N71" s="4">
        <v>0.2</v>
      </c>
      <c r="O71" s="4">
        <v>75000</v>
      </c>
      <c r="P71" s="4">
        <v>15000</v>
      </c>
      <c r="Q71" s="4">
        <v>60000</v>
      </c>
      <c r="R71" s="4">
        <v>48438.67</v>
      </c>
      <c r="S71" s="4">
        <v>11561.33</v>
      </c>
      <c r="T71" s="16">
        <f>IFERROR(Raw_Data!$S71/Raw_Data!$Q71,0)</f>
        <v>0.19268883333333334</v>
      </c>
      <c r="U71" s="4" t="s">
        <v>113</v>
      </c>
      <c r="V71" s="4" t="s">
        <v>64</v>
      </c>
      <c r="W71" s="4" t="s">
        <v>55</v>
      </c>
      <c r="X71" s="4" t="s">
        <v>36</v>
      </c>
    </row>
    <row r="72" spans="1:24" x14ac:dyDescent="0.35">
      <c r="A72" s="17" t="s">
        <v>421</v>
      </c>
      <c r="B72" s="18">
        <v>45758</v>
      </c>
      <c r="C72" s="19" t="s">
        <v>67</v>
      </c>
      <c r="D72" s="19" t="s">
        <v>68</v>
      </c>
      <c r="E72" s="19" t="s">
        <v>69</v>
      </c>
      <c r="F72" s="19" t="s">
        <v>41</v>
      </c>
      <c r="G72" s="19" t="s">
        <v>28</v>
      </c>
      <c r="H72" s="19" t="s">
        <v>162</v>
      </c>
      <c r="I72" s="19" t="s">
        <v>163</v>
      </c>
      <c r="J72" s="19" t="s">
        <v>31</v>
      </c>
      <c r="K72" s="19" t="s">
        <v>164</v>
      </c>
      <c r="L72" s="20">
        <v>8</v>
      </c>
      <c r="M72" s="19">
        <v>16500</v>
      </c>
      <c r="N72" s="19">
        <v>0</v>
      </c>
      <c r="O72" s="19">
        <v>132000</v>
      </c>
      <c r="P72" s="19">
        <v>0</v>
      </c>
      <c r="Q72" s="19">
        <v>132000</v>
      </c>
      <c r="R72" s="19">
        <v>80852.31</v>
      </c>
      <c r="S72" s="19">
        <v>51147.69</v>
      </c>
      <c r="T72" s="21">
        <f>IFERROR(Raw_Data!$S72/Raw_Data!$Q72,0)</f>
        <v>0.38748250000000001</v>
      </c>
      <c r="U72" s="19" t="s">
        <v>113</v>
      </c>
      <c r="V72" s="19" t="s">
        <v>64</v>
      </c>
      <c r="W72" s="19" t="s">
        <v>55</v>
      </c>
      <c r="X72" s="19" t="s">
        <v>36</v>
      </c>
    </row>
    <row r="73" spans="1:24" x14ac:dyDescent="0.35">
      <c r="A73" s="13" t="s">
        <v>397</v>
      </c>
      <c r="B73" s="14">
        <v>45762</v>
      </c>
      <c r="C73" s="4" t="s">
        <v>127</v>
      </c>
      <c r="D73" s="4" t="s">
        <v>128</v>
      </c>
      <c r="E73" s="4" t="s">
        <v>129</v>
      </c>
      <c r="F73" s="4" t="s">
        <v>27</v>
      </c>
      <c r="G73" s="4" t="s">
        <v>28</v>
      </c>
      <c r="H73" s="4" t="s">
        <v>72</v>
      </c>
      <c r="I73" s="4" t="s">
        <v>73</v>
      </c>
      <c r="J73" s="4" t="s">
        <v>45</v>
      </c>
      <c r="K73" s="4" t="s">
        <v>74</v>
      </c>
      <c r="L73" s="15">
        <v>6</v>
      </c>
      <c r="M73" s="4">
        <v>4200</v>
      </c>
      <c r="N73" s="4">
        <v>0.05</v>
      </c>
      <c r="O73" s="4">
        <v>25200</v>
      </c>
      <c r="P73" s="4">
        <v>1260</v>
      </c>
      <c r="Q73" s="4">
        <v>-23940</v>
      </c>
      <c r="R73" s="4">
        <v>16263.48</v>
      </c>
      <c r="S73" s="4">
        <v>-7676.52</v>
      </c>
      <c r="T73" s="16">
        <f>IFERROR(Raw_Data!$S73/Raw_Data!$Q73,0)</f>
        <v>0.32065664160401003</v>
      </c>
      <c r="U73" s="4" t="s">
        <v>54</v>
      </c>
      <c r="V73" s="4" t="s">
        <v>34</v>
      </c>
      <c r="W73" s="4" t="s">
        <v>48</v>
      </c>
      <c r="X73" s="4" t="s">
        <v>49</v>
      </c>
    </row>
    <row r="74" spans="1:24" x14ac:dyDescent="0.35">
      <c r="A74" s="17" t="s">
        <v>199</v>
      </c>
      <c r="B74" s="18">
        <v>45763</v>
      </c>
      <c r="C74" s="19" t="s">
        <v>142</v>
      </c>
      <c r="D74" s="19" t="s">
        <v>143</v>
      </c>
      <c r="E74" s="19" t="s">
        <v>144</v>
      </c>
      <c r="F74" s="19" t="s">
        <v>87</v>
      </c>
      <c r="G74" s="19" t="s">
        <v>28</v>
      </c>
      <c r="H74" s="19" t="s">
        <v>29</v>
      </c>
      <c r="I74" s="19" t="s">
        <v>30</v>
      </c>
      <c r="J74" s="19" t="s">
        <v>31</v>
      </c>
      <c r="K74" s="19" t="s">
        <v>32</v>
      </c>
      <c r="L74" s="20">
        <v>7</v>
      </c>
      <c r="M74" s="19">
        <v>78000</v>
      </c>
      <c r="N74" s="19">
        <v>0.1</v>
      </c>
      <c r="O74" s="19">
        <v>546000</v>
      </c>
      <c r="P74" s="19">
        <v>54600</v>
      </c>
      <c r="Q74" s="19">
        <v>-491400</v>
      </c>
      <c r="R74" s="19">
        <v>391725.03</v>
      </c>
      <c r="S74" s="19">
        <v>-99674.97</v>
      </c>
      <c r="T74" s="21">
        <f>IFERROR(Raw_Data!$S74/Raw_Data!$Q74,0)</f>
        <v>0.20283876678876678</v>
      </c>
      <c r="U74" s="19" t="s">
        <v>33</v>
      </c>
      <c r="V74" s="19" t="s">
        <v>47</v>
      </c>
      <c r="W74" s="19" t="s">
        <v>55</v>
      </c>
      <c r="X74" s="19" t="s">
        <v>49</v>
      </c>
    </row>
    <row r="75" spans="1:24" x14ac:dyDescent="0.35">
      <c r="A75" s="13" t="s">
        <v>379</v>
      </c>
      <c r="B75" s="14">
        <v>45769</v>
      </c>
      <c r="C75" s="4" t="s">
        <v>170</v>
      </c>
      <c r="D75" s="4" t="s">
        <v>171</v>
      </c>
      <c r="E75" s="4" t="s">
        <v>172</v>
      </c>
      <c r="F75" s="4" t="s">
        <v>27</v>
      </c>
      <c r="G75" s="4" t="s">
        <v>97</v>
      </c>
      <c r="H75" s="4" t="s">
        <v>29</v>
      </c>
      <c r="I75" s="4" t="s">
        <v>30</v>
      </c>
      <c r="J75" s="4" t="s">
        <v>31</v>
      </c>
      <c r="K75" s="4" t="s">
        <v>32</v>
      </c>
      <c r="L75" s="15">
        <v>2</v>
      </c>
      <c r="M75" s="4">
        <v>78000</v>
      </c>
      <c r="N75" s="4">
        <v>0</v>
      </c>
      <c r="O75" s="4">
        <v>156000</v>
      </c>
      <c r="P75" s="4">
        <v>0</v>
      </c>
      <c r="Q75" s="4">
        <v>0</v>
      </c>
      <c r="R75" s="4">
        <v>106343.23</v>
      </c>
      <c r="S75" s="4">
        <v>0</v>
      </c>
      <c r="T75" s="16">
        <f>IFERROR(Raw_Data!$S75/Raw_Data!$Q75,0)</f>
        <v>0</v>
      </c>
      <c r="U75" s="4" t="s">
        <v>54</v>
      </c>
      <c r="V75" s="4" t="s">
        <v>70</v>
      </c>
      <c r="W75" s="4" t="s">
        <v>35</v>
      </c>
      <c r="X75" s="4" t="s">
        <v>75</v>
      </c>
    </row>
    <row r="76" spans="1:24" x14ac:dyDescent="0.35">
      <c r="A76" s="17" t="s">
        <v>50</v>
      </c>
      <c r="B76" s="18">
        <v>45770</v>
      </c>
      <c r="C76" s="19" t="s">
        <v>51</v>
      </c>
      <c r="D76" s="19" t="s">
        <v>52</v>
      </c>
      <c r="E76" s="19" t="s">
        <v>53</v>
      </c>
      <c r="F76" s="19" t="s">
        <v>27</v>
      </c>
      <c r="G76" s="19" t="s">
        <v>28</v>
      </c>
      <c r="H76" s="19" t="s">
        <v>43</v>
      </c>
      <c r="I76" s="19" t="s">
        <v>44</v>
      </c>
      <c r="J76" s="19" t="s">
        <v>45</v>
      </c>
      <c r="K76" s="19" t="s">
        <v>46</v>
      </c>
      <c r="L76" s="20">
        <v>8</v>
      </c>
      <c r="M76" s="19">
        <v>8900</v>
      </c>
      <c r="N76" s="19">
        <v>0.15</v>
      </c>
      <c r="O76" s="19">
        <v>71200</v>
      </c>
      <c r="P76" s="19">
        <v>10680</v>
      </c>
      <c r="Q76" s="19">
        <v>60520</v>
      </c>
      <c r="R76" s="19">
        <v>39142.26</v>
      </c>
      <c r="S76" s="19">
        <v>21377.74</v>
      </c>
      <c r="T76" s="21">
        <f>IFERROR(Raw_Data!$S76/Raw_Data!$Q76,0)</f>
        <v>0.35323430270984801</v>
      </c>
      <c r="U76" s="19" t="s">
        <v>54</v>
      </c>
      <c r="V76" s="19" t="s">
        <v>34</v>
      </c>
      <c r="W76" s="19" t="s">
        <v>55</v>
      </c>
      <c r="X76" s="19" t="s">
        <v>36</v>
      </c>
    </row>
    <row r="77" spans="1:24" x14ac:dyDescent="0.35">
      <c r="A77" s="13" t="s">
        <v>194</v>
      </c>
      <c r="B77" s="14">
        <v>45770</v>
      </c>
      <c r="C77" s="4" t="s">
        <v>24</v>
      </c>
      <c r="D77" s="4" t="s">
        <v>25</v>
      </c>
      <c r="E77" s="4" t="s">
        <v>26</v>
      </c>
      <c r="F77" s="4" t="s">
        <v>27</v>
      </c>
      <c r="G77" s="4" t="s">
        <v>28</v>
      </c>
      <c r="H77" s="4" t="s">
        <v>43</v>
      </c>
      <c r="I77" s="4" t="s">
        <v>44</v>
      </c>
      <c r="J77" s="4" t="s">
        <v>45</v>
      </c>
      <c r="K77" s="4" t="s">
        <v>46</v>
      </c>
      <c r="L77" s="15">
        <v>3</v>
      </c>
      <c r="M77" s="4">
        <v>8900</v>
      </c>
      <c r="N77" s="4">
        <v>0.2</v>
      </c>
      <c r="O77" s="4">
        <v>26700</v>
      </c>
      <c r="P77" s="4">
        <v>5340</v>
      </c>
      <c r="Q77" s="4">
        <v>21360</v>
      </c>
      <c r="R77" s="4">
        <v>15044.06</v>
      </c>
      <c r="S77" s="4">
        <v>6315.94</v>
      </c>
      <c r="T77" s="16">
        <f>IFERROR(Raw_Data!$S77/Raw_Data!$Q77,0)</f>
        <v>0.29569007490636701</v>
      </c>
      <c r="U77" s="4" t="s">
        <v>33</v>
      </c>
      <c r="V77" s="4" t="s">
        <v>88</v>
      </c>
      <c r="W77" s="4" t="s">
        <v>35</v>
      </c>
      <c r="X77" s="4" t="s">
        <v>36</v>
      </c>
    </row>
    <row r="78" spans="1:24" x14ac:dyDescent="0.35">
      <c r="A78" s="17" t="s">
        <v>309</v>
      </c>
      <c r="B78" s="18">
        <v>45771</v>
      </c>
      <c r="C78" s="19" t="s">
        <v>142</v>
      </c>
      <c r="D78" s="19" t="s">
        <v>143</v>
      </c>
      <c r="E78" s="19" t="s">
        <v>144</v>
      </c>
      <c r="F78" s="19" t="s">
        <v>87</v>
      </c>
      <c r="G78" s="19" t="s">
        <v>28</v>
      </c>
      <c r="H78" s="19" t="s">
        <v>80</v>
      </c>
      <c r="I78" s="19" t="s">
        <v>81</v>
      </c>
      <c r="J78" s="19" t="s">
        <v>31</v>
      </c>
      <c r="K78" s="19" t="s">
        <v>82</v>
      </c>
      <c r="L78" s="20">
        <v>8</v>
      </c>
      <c r="M78" s="19">
        <v>62000</v>
      </c>
      <c r="N78" s="19">
        <v>0.05</v>
      </c>
      <c r="O78" s="19">
        <v>496000</v>
      </c>
      <c r="P78" s="19">
        <v>24800</v>
      </c>
      <c r="Q78" s="19">
        <v>471200</v>
      </c>
      <c r="R78" s="19">
        <v>378521.21</v>
      </c>
      <c r="S78" s="19">
        <v>92678.79</v>
      </c>
      <c r="T78" s="21">
        <f>IFERROR(Raw_Data!$S78/Raw_Data!$Q78,0)</f>
        <v>0.19668673599320882</v>
      </c>
      <c r="U78" s="19" t="s">
        <v>54</v>
      </c>
      <c r="V78" s="19" t="s">
        <v>139</v>
      </c>
      <c r="W78" s="19" t="s">
        <v>65</v>
      </c>
      <c r="X78" s="19" t="s">
        <v>36</v>
      </c>
    </row>
    <row r="79" spans="1:24" x14ac:dyDescent="0.35">
      <c r="A79" s="13" t="s">
        <v>182</v>
      </c>
      <c r="B79" s="14">
        <v>45774</v>
      </c>
      <c r="C79" s="4" t="s">
        <v>176</v>
      </c>
      <c r="D79" s="4" t="s">
        <v>177</v>
      </c>
      <c r="E79" s="4" t="s">
        <v>178</v>
      </c>
      <c r="F79" s="4" t="s">
        <v>108</v>
      </c>
      <c r="G79" s="4" t="s">
        <v>28</v>
      </c>
      <c r="H79" s="4" t="s">
        <v>61</v>
      </c>
      <c r="I79" s="4" t="s">
        <v>62</v>
      </c>
      <c r="J79" s="4" t="s">
        <v>45</v>
      </c>
      <c r="K79" s="4" t="s">
        <v>63</v>
      </c>
      <c r="L79" s="15">
        <v>4</v>
      </c>
      <c r="M79" s="4">
        <v>1800</v>
      </c>
      <c r="N79" s="4">
        <v>0</v>
      </c>
      <c r="O79" s="4">
        <v>7200</v>
      </c>
      <c r="P79" s="4">
        <v>0</v>
      </c>
      <c r="Q79" s="4">
        <v>7200</v>
      </c>
      <c r="R79" s="4">
        <v>5316.54</v>
      </c>
      <c r="S79" s="4">
        <v>1883.46</v>
      </c>
      <c r="T79" s="16">
        <f>IFERROR(Raw_Data!$S79/Raw_Data!$Q79,0)</f>
        <v>0.26159166666666667</v>
      </c>
      <c r="U79" s="4" t="s">
        <v>113</v>
      </c>
      <c r="V79" s="4" t="s">
        <v>64</v>
      </c>
      <c r="W79" s="4" t="s">
        <v>35</v>
      </c>
      <c r="X79" s="4" t="s">
        <v>36</v>
      </c>
    </row>
    <row r="80" spans="1:24" x14ac:dyDescent="0.35">
      <c r="A80" s="17" t="s">
        <v>266</v>
      </c>
      <c r="B80" s="18">
        <v>45777</v>
      </c>
      <c r="C80" s="19" t="s">
        <v>38</v>
      </c>
      <c r="D80" s="19" t="s">
        <v>39</v>
      </c>
      <c r="E80" s="19" t="s">
        <v>40</v>
      </c>
      <c r="F80" s="19" t="s">
        <v>41</v>
      </c>
      <c r="G80" s="19" t="s">
        <v>42</v>
      </c>
      <c r="H80" s="19" t="s">
        <v>151</v>
      </c>
      <c r="I80" s="19" t="s">
        <v>152</v>
      </c>
      <c r="J80" s="19" t="s">
        <v>45</v>
      </c>
      <c r="K80" s="19" t="s">
        <v>153</v>
      </c>
      <c r="L80" s="20">
        <v>6</v>
      </c>
      <c r="M80" s="19">
        <v>3200</v>
      </c>
      <c r="N80" s="19">
        <v>0</v>
      </c>
      <c r="O80" s="19">
        <v>19200</v>
      </c>
      <c r="P80" s="19">
        <v>0</v>
      </c>
      <c r="Q80" s="19">
        <v>-19200</v>
      </c>
      <c r="R80" s="19">
        <v>14770.07</v>
      </c>
      <c r="S80" s="19">
        <v>-4429.93</v>
      </c>
      <c r="T80" s="21">
        <f>IFERROR(Raw_Data!$S80/Raw_Data!$Q80,0)</f>
        <v>0.23072552083333334</v>
      </c>
      <c r="U80" s="19" t="s">
        <v>54</v>
      </c>
      <c r="V80" s="19" t="s">
        <v>64</v>
      </c>
      <c r="W80" s="19" t="s">
        <v>48</v>
      </c>
      <c r="X80" s="19" t="s">
        <v>49</v>
      </c>
    </row>
    <row r="81" spans="1:24" x14ac:dyDescent="0.35">
      <c r="A81" s="13" t="s">
        <v>386</v>
      </c>
      <c r="B81" s="14">
        <v>45777</v>
      </c>
      <c r="C81" s="4" t="s">
        <v>94</v>
      </c>
      <c r="D81" s="4" t="s">
        <v>95</v>
      </c>
      <c r="E81" s="4" t="s">
        <v>96</v>
      </c>
      <c r="F81" s="4" t="s">
        <v>60</v>
      </c>
      <c r="G81" s="4" t="s">
        <v>97</v>
      </c>
      <c r="H81" s="4" t="s">
        <v>99</v>
      </c>
      <c r="I81" s="4" t="s">
        <v>100</v>
      </c>
      <c r="J81" s="4" t="s">
        <v>101</v>
      </c>
      <c r="K81" s="4" t="s">
        <v>102</v>
      </c>
      <c r="L81" s="15">
        <v>4</v>
      </c>
      <c r="M81" s="4">
        <v>12500</v>
      </c>
      <c r="N81" s="4">
        <v>0</v>
      </c>
      <c r="O81" s="4">
        <v>50000</v>
      </c>
      <c r="P81" s="4">
        <v>0</v>
      </c>
      <c r="Q81" s="4">
        <v>50000</v>
      </c>
      <c r="R81" s="4">
        <v>30681.63</v>
      </c>
      <c r="S81" s="4">
        <v>19318.37</v>
      </c>
      <c r="T81" s="16">
        <f>IFERROR(Raw_Data!$S81/Raw_Data!$Q81,0)</f>
        <v>0.38636739999999997</v>
      </c>
      <c r="U81" s="4" t="s">
        <v>54</v>
      </c>
      <c r="V81" s="4" t="s">
        <v>34</v>
      </c>
      <c r="W81" s="4" t="s">
        <v>65</v>
      </c>
      <c r="X81" s="4" t="s">
        <v>36</v>
      </c>
    </row>
    <row r="82" spans="1:24" x14ac:dyDescent="0.35">
      <c r="A82" s="17" t="s">
        <v>313</v>
      </c>
      <c r="B82" s="18">
        <v>45779</v>
      </c>
      <c r="C82" s="19" t="s">
        <v>24</v>
      </c>
      <c r="D82" s="19" t="s">
        <v>25</v>
      </c>
      <c r="E82" s="19" t="s">
        <v>26</v>
      </c>
      <c r="F82" s="19" t="s">
        <v>27</v>
      </c>
      <c r="G82" s="19" t="s">
        <v>28</v>
      </c>
      <c r="H82" s="19" t="s">
        <v>61</v>
      </c>
      <c r="I82" s="19" t="s">
        <v>62</v>
      </c>
      <c r="J82" s="19" t="s">
        <v>45</v>
      </c>
      <c r="K82" s="19" t="s">
        <v>63</v>
      </c>
      <c r="L82" s="20">
        <v>5</v>
      </c>
      <c r="M82" s="19">
        <v>1800</v>
      </c>
      <c r="N82" s="19">
        <v>0</v>
      </c>
      <c r="O82" s="19">
        <v>9000</v>
      </c>
      <c r="P82" s="19">
        <v>0</v>
      </c>
      <c r="Q82" s="19">
        <v>9000</v>
      </c>
      <c r="R82" s="19">
        <v>5323.14</v>
      </c>
      <c r="S82" s="19">
        <v>3676.86</v>
      </c>
      <c r="T82" s="21">
        <f>IFERROR(Raw_Data!$S82/Raw_Data!$Q82,0)</f>
        <v>0.40854000000000001</v>
      </c>
      <c r="U82" s="19" t="s">
        <v>33</v>
      </c>
      <c r="V82" s="19" t="s">
        <v>70</v>
      </c>
      <c r="W82" s="19" t="s">
        <v>55</v>
      </c>
      <c r="X82" s="19" t="s">
        <v>36</v>
      </c>
    </row>
    <row r="83" spans="1:24" x14ac:dyDescent="0.35">
      <c r="A83" s="13" t="s">
        <v>165</v>
      </c>
      <c r="B83" s="14">
        <v>45780</v>
      </c>
      <c r="C83" s="4" t="s">
        <v>84</v>
      </c>
      <c r="D83" s="4" t="s">
        <v>85</v>
      </c>
      <c r="E83" s="4" t="s">
        <v>86</v>
      </c>
      <c r="F83" s="4" t="s">
        <v>87</v>
      </c>
      <c r="G83" s="4" t="s">
        <v>42</v>
      </c>
      <c r="H83" s="4" t="s">
        <v>72</v>
      </c>
      <c r="I83" s="4" t="s">
        <v>73</v>
      </c>
      <c r="J83" s="4" t="s">
        <v>45</v>
      </c>
      <c r="K83" s="4" t="s">
        <v>74</v>
      </c>
      <c r="L83" s="15">
        <v>5</v>
      </c>
      <c r="M83" s="4">
        <v>4200</v>
      </c>
      <c r="N83" s="4">
        <v>0.1</v>
      </c>
      <c r="O83" s="4">
        <v>21000</v>
      </c>
      <c r="P83" s="4">
        <v>2100</v>
      </c>
      <c r="Q83" s="4">
        <v>0</v>
      </c>
      <c r="R83" s="4">
        <v>11555.66</v>
      </c>
      <c r="S83" s="4">
        <v>0</v>
      </c>
      <c r="T83" s="16">
        <f>IFERROR(Raw_Data!$S83/Raw_Data!$Q83,0)</f>
        <v>0</v>
      </c>
      <c r="U83" s="4" t="s">
        <v>113</v>
      </c>
      <c r="V83" s="4" t="s">
        <v>139</v>
      </c>
      <c r="W83" s="4" t="s">
        <v>65</v>
      </c>
      <c r="X83" s="4" t="s">
        <v>75</v>
      </c>
    </row>
    <row r="84" spans="1:24" x14ac:dyDescent="0.35">
      <c r="A84" s="17" t="s">
        <v>125</v>
      </c>
      <c r="B84" s="18">
        <v>45781</v>
      </c>
      <c r="C84" s="19" t="s">
        <v>77</v>
      </c>
      <c r="D84" s="19" t="s">
        <v>78</v>
      </c>
      <c r="E84" s="19" t="s">
        <v>79</v>
      </c>
      <c r="F84" s="19" t="s">
        <v>60</v>
      </c>
      <c r="G84" s="19" t="s">
        <v>28</v>
      </c>
      <c r="H84" s="19" t="s">
        <v>29</v>
      </c>
      <c r="I84" s="19" t="s">
        <v>30</v>
      </c>
      <c r="J84" s="19" t="s">
        <v>31</v>
      </c>
      <c r="K84" s="19" t="s">
        <v>32</v>
      </c>
      <c r="L84" s="20">
        <v>2</v>
      </c>
      <c r="M84" s="19">
        <v>78000</v>
      </c>
      <c r="N84" s="19">
        <v>0</v>
      </c>
      <c r="O84" s="19">
        <v>156000</v>
      </c>
      <c r="P84" s="19">
        <v>0</v>
      </c>
      <c r="Q84" s="19">
        <v>156000</v>
      </c>
      <c r="R84" s="19">
        <v>117882.62</v>
      </c>
      <c r="S84" s="19">
        <v>38117.379999999997</v>
      </c>
      <c r="T84" s="21">
        <f>IFERROR(Raw_Data!$S84/Raw_Data!$Q84,0)</f>
        <v>0.24434217948717948</v>
      </c>
      <c r="U84" s="19" t="s">
        <v>33</v>
      </c>
      <c r="V84" s="19" t="s">
        <v>88</v>
      </c>
      <c r="W84" s="19" t="s">
        <v>48</v>
      </c>
      <c r="X84" s="19" t="s">
        <v>36</v>
      </c>
    </row>
    <row r="85" spans="1:24" x14ac:dyDescent="0.35">
      <c r="A85" s="13" t="s">
        <v>215</v>
      </c>
      <c r="B85" s="14">
        <v>45781</v>
      </c>
      <c r="C85" s="4" t="s">
        <v>127</v>
      </c>
      <c r="D85" s="4" t="s">
        <v>128</v>
      </c>
      <c r="E85" s="4" t="s">
        <v>129</v>
      </c>
      <c r="F85" s="4" t="s">
        <v>27</v>
      </c>
      <c r="G85" s="4" t="s">
        <v>28</v>
      </c>
      <c r="H85" s="4" t="s">
        <v>110</v>
      </c>
      <c r="I85" s="4" t="s">
        <v>111</v>
      </c>
      <c r="J85" s="4" t="s">
        <v>101</v>
      </c>
      <c r="K85" s="4" t="s">
        <v>112</v>
      </c>
      <c r="L85" s="15">
        <v>8</v>
      </c>
      <c r="M85" s="4">
        <v>22000</v>
      </c>
      <c r="N85" s="4">
        <v>0.2</v>
      </c>
      <c r="O85" s="4">
        <v>176000</v>
      </c>
      <c r="P85" s="4">
        <v>35200</v>
      </c>
      <c r="Q85" s="4">
        <v>140800</v>
      </c>
      <c r="R85" s="4">
        <v>105718.58</v>
      </c>
      <c r="S85" s="4">
        <v>35081.42</v>
      </c>
      <c r="T85" s="16">
        <f>IFERROR(Raw_Data!$S85/Raw_Data!$Q85,0)</f>
        <v>0.24915781249999999</v>
      </c>
      <c r="U85" s="4" t="s">
        <v>54</v>
      </c>
      <c r="V85" s="4" t="s">
        <v>47</v>
      </c>
      <c r="W85" s="4" t="s">
        <v>65</v>
      </c>
      <c r="X85" s="4" t="s">
        <v>36</v>
      </c>
    </row>
    <row r="86" spans="1:24" x14ac:dyDescent="0.35">
      <c r="A86" s="17" t="s">
        <v>411</v>
      </c>
      <c r="B86" s="18">
        <v>45781</v>
      </c>
      <c r="C86" s="19" t="s">
        <v>105</v>
      </c>
      <c r="D86" s="19" t="s">
        <v>106</v>
      </c>
      <c r="E86" s="19" t="s">
        <v>107</v>
      </c>
      <c r="F86" s="19" t="s">
        <v>108</v>
      </c>
      <c r="G86" s="19" t="s">
        <v>28</v>
      </c>
      <c r="H86" s="19" t="s">
        <v>162</v>
      </c>
      <c r="I86" s="19" t="s">
        <v>163</v>
      </c>
      <c r="J86" s="19" t="s">
        <v>31</v>
      </c>
      <c r="K86" s="19" t="s">
        <v>164</v>
      </c>
      <c r="L86" s="20">
        <v>7</v>
      </c>
      <c r="M86" s="19">
        <v>16500</v>
      </c>
      <c r="N86" s="19">
        <v>0.2</v>
      </c>
      <c r="O86" s="19">
        <v>115500</v>
      </c>
      <c r="P86" s="19">
        <v>23100</v>
      </c>
      <c r="Q86" s="19">
        <v>92400</v>
      </c>
      <c r="R86" s="19">
        <v>73473.36</v>
      </c>
      <c r="S86" s="19">
        <v>18926.64</v>
      </c>
      <c r="T86" s="21">
        <f>IFERROR(Raw_Data!$S86/Raw_Data!$Q86,0)</f>
        <v>0.20483376623376623</v>
      </c>
      <c r="U86" s="19" t="s">
        <v>113</v>
      </c>
      <c r="V86" s="19" t="s">
        <v>34</v>
      </c>
      <c r="W86" s="19" t="s">
        <v>48</v>
      </c>
      <c r="X86" s="19" t="s">
        <v>36</v>
      </c>
    </row>
    <row r="87" spans="1:24" x14ac:dyDescent="0.35">
      <c r="A87" s="13" t="s">
        <v>426</v>
      </c>
      <c r="B87" s="14">
        <v>45781</v>
      </c>
      <c r="C87" s="4" t="s">
        <v>122</v>
      </c>
      <c r="D87" s="4" t="s">
        <v>123</v>
      </c>
      <c r="E87" s="4" t="s">
        <v>124</v>
      </c>
      <c r="F87" s="4" t="s">
        <v>87</v>
      </c>
      <c r="G87" s="4" t="s">
        <v>42</v>
      </c>
      <c r="H87" s="4" t="s">
        <v>61</v>
      </c>
      <c r="I87" s="4" t="s">
        <v>62</v>
      </c>
      <c r="J87" s="4" t="s">
        <v>45</v>
      </c>
      <c r="K87" s="4" t="s">
        <v>63</v>
      </c>
      <c r="L87" s="15">
        <v>5</v>
      </c>
      <c r="M87" s="4">
        <v>1800</v>
      </c>
      <c r="N87" s="4">
        <v>0.2</v>
      </c>
      <c r="O87" s="4">
        <v>9000</v>
      </c>
      <c r="P87" s="4">
        <v>1800</v>
      </c>
      <c r="Q87" s="4">
        <v>7200</v>
      </c>
      <c r="R87" s="4">
        <v>4442.3599999999997</v>
      </c>
      <c r="S87" s="4">
        <v>2757.64</v>
      </c>
      <c r="T87" s="16">
        <f>IFERROR(Raw_Data!$S87/Raw_Data!$Q87,0)</f>
        <v>0.38300555555555554</v>
      </c>
      <c r="U87" s="4" t="s">
        <v>113</v>
      </c>
      <c r="V87" s="4" t="s">
        <v>47</v>
      </c>
      <c r="W87" s="4" t="s">
        <v>55</v>
      </c>
      <c r="X87" s="4" t="s">
        <v>36</v>
      </c>
    </row>
    <row r="88" spans="1:24" x14ac:dyDescent="0.35">
      <c r="A88" s="17" t="s">
        <v>406</v>
      </c>
      <c r="B88" s="18">
        <v>45782</v>
      </c>
      <c r="C88" s="19" t="s">
        <v>90</v>
      </c>
      <c r="D88" s="19" t="s">
        <v>91</v>
      </c>
      <c r="E88" s="19" t="s">
        <v>92</v>
      </c>
      <c r="F88" s="19" t="s">
        <v>60</v>
      </c>
      <c r="G88" s="19" t="s">
        <v>42</v>
      </c>
      <c r="H88" s="19" t="s">
        <v>162</v>
      </c>
      <c r="I88" s="19" t="s">
        <v>163</v>
      </c>
      <c r="J88" s="19" t="s">
        <v>31</v>
      </c>
      <c r="K88" s="19" t="s">
        <v>164</v>
      </c>
      <c r="L88" s="20">
        <v>4</v>
      </c>
      <c r="M88" s="19">
        <v>16500</v>
      </c>
      <c r="N88" s="19">
        <v>0.05</v>
      </c>
      <c r="O88" s="19">
        <v>66000</v>
      </c>
      <c r="P88" s="19">
        <v>3300</v>
      </c>
      <c r="Q88" s="19">
        <v>62700</v>
      </c>
      <c r="R88" s="19">
        <v>46659.46</v>
      </c>
      <c r="S88" s="19">
        <v>16040.54</v>
      </c>
      <c r="T88" s="21">
        <f>IFERROR(Raw_Data!$S88/Raw_Data!$Q88,0)</f>
        <v>0.25582998405103669</v>
      </c>
      <c r="U88" s="19" t="s">
        <v>33</v>
      </c>
      <c r="V88" s="19" t="s">
        <v>34</v>
      </c>
      <c r="W88" s="19" t="s">
        <v>35</v>
      </c>
      <c r="X88" s="19" t="s">
        <v>36</v>
      </c>
    </row>
    <row r="89" spans="1:24" x14ac:dyDescent="0.35">
      <c r="A89" s="13" t="s">
        <v>375</v>
      </c>
      <c r="B89" s="14">
        <v>45784</v>
      </c>
      <c r="C89" s="4" t="s">
        <v>51</v>
      </c>
      <c r="D89" s="4" t="s">
        <v>52</v>
      </c>
      <c r="E89" s="4" t="s">
        <v>53</v>
      </c>
      <c r="F89" s="4" t="s">
        <v>27</v>
      </c>
      <c r="G89" s="4" t="s">
        <v>28</v>
      </c>
      <c r="H89" s="4" t="s">
        <v>151</v>
      </c>
      <c r="I89" s="4" t="s">
        <v>152</v>
      </c>
      <c r="J89" s="4" t="s">
        <v>45</v>
      </c>
      <c r="K89" s="4" t="s">
        <v>153</v>
      </c>
      <c r="L89" s="15">
        <v>2</v>
      </c>
      <c r="M89" s="4">
        <v>3200</v>
      </c>
      <c r="N89" s="4">
        <v>0.15</v>
      </c>
      <c r="O89" s="4">
        <v>6400</v>
      </c>
      <c r="P89" s="4">
        <v>960</v>
      </c>
      <c r="Q89" s="4">
        <v>0</v>
      </c>
      <c r="R89" s="4">
        <v>3738.47</v>
      </c>
      <c r="S89" s="4">
        <v>0</v>
      </c>
      <c r="T89" s="16">
        <f>IFERROR(Raw_Data!$S89/Raw_Data!$Q89,0)</f>
        <v>0</v>
      </c>
      <c r="U89" s="4" t="s">
        <v>113</v>
      </c>
      <c r="V89" s="4" t="s">
        <v>47</v>
      </c>
      <c r="W89" s="4" t="s">
        <v>35</v>
      </c>
      <c r="X89" s="4" t="s">
        <v>75</v>
      </c>
    </row>
    <row r="90" spans="1:24" x14ac:dyDescent="0.35">
      <c r="A90" s="17" t="s">
        <v>267</v>
      </c>
      <c r="B90" s="18">
        <v>45786</v>
      </c>
      <c r="C90" s="19" t="s">
        <v>122</v>
      </c>
      <c r="D90" s="19" t="s">
        <v>123</v>
      </c>
      <c r="E90" s="19" t="s">
        <v>124</v>
      </c>
      <c r="F90" s="19" t="s">
        <v>87</v>
      </c>
      <c r="G90" s="19" t="s">
        <v>42</v>
      </c>
      <c r="H90" s="19" t="s">
        <v>110</v>
      </c>
      <c r="I90" s="19" t="s">
        <v>111</v>
      </c>
      <c r="J90" s="19" t="s">
        <v>101</v>
      </c>
      <c r="K90" s="19" t="s">
        <v>112</v>
      </c>
      <c r="L90" s="20">
        <v>3</v>
      </c>
      <c r="M90" s="19">
        <v>22000</v>
      </c>
      <c r="N90" s="19">
        <v>0</v>
      </c>
      <c r="O90" s="19">
        <v>66000</v>
      </c>
      <c r="P90" s="19">
        <v>0</v>
      </c>
      <c r="Q90" s="19">
        <v>66000</v>
      </c>
      <c r="R90" s="19">
        <v>48751.15</v>
      </c>
      <c r="S90" s="19">
        <v>17248.849999999999</v>
      </c>
      <c r="T90" s="21">
        <f>IFERROR(Raw_Data!$S90/Raw_Data!$Q90,0)</f>
        <v>0.26134621212121212</v>
      </c>
      <c r="U90" s="19" t="s">
        <v>54</v>
      </c>
      <c r="V90" s="19" t="s">
        <v>47</v>
      </c>
      <c r="W90" s="19" t="s">
        <v>65</v>
      </c>
      <c r="X90" s="19" t="s">
        <v>36</v>
      </c>
    </row>
    <row r="91" spans="1:24" x14ac:dyDescent="0.35">
      <c r="A91" s="13" t="s">
        <v>371</v>
      </c>
      <c r="B91" s="14">
        <v>45791</v>
      </c>
      <c r="C91" s="4" t="s">
        <v>77</v>
      </c>
      <c r="D91" s="4" t="s">
        <v>78</v>
      </c>
      <c r="E91" s="4" t="s">
        <v>79</v>
      </c>
      <c r="F91" s="4" t="s">
        <v>60</v>
      </c>
      <c r="G91" s="4" t="s">
        <v>28</v>
      </c>
      <c r="H91" s="4" t="s">
        <v>29</v>
      </c>
      <c r="I91" s="4" t="s">
        <v>30</v>
      </c>
      <c r="J91" s="4" t="s">
        <v>31</v>
      </c>
      <c r="K91" s="4" t="s">
        <v>32</v>
      </c>
      <c r="L91" s="15">
        <v>7</v>
      </c>
      <c r="M91" s="4">
        <v>78000</v>
      </c>
      <c r="N91" s="4">
        <v>0</v>
      </c>
      <c r="O91" s="4">
        <v>546000</v>
      </c>
      <c r="P91" s="4">
        <v>0</v>
      </c>
      <c r="Q91" s="4">
        <v>546000</v>
      </c>
      <c r="R91" s="4">
        <v>375220.22</v>
      </c>
      <c r="S91" s="4">
        <v>170779.78</v>
      </c>
      <c r="T91" s="16">
        <f>IFERROR(Raw_Data!$S91/Raw_Data!$Q91,0)</f>
        <v>0.31278347985347987</v>
      </c>
      <c r="U91" s="4" t="s">
        <v>113</v>
      </c>
      <c r="V91" s="4" t="s">
        <v>64</v>
      </c>
      <c r="W91" s="4" t="s">
        <v>35</v>
      </c>
      <c r="X91" s="4" t="s">
        <v>36</v>
      </c>
    </row>
    <row r="92" spans="1:24" x14ac:dyDescent="0.35">
      <c r="A92" s="17" t="s">
        <v>154</v>
      </c>
      <c r="B92" s="18">
        <v>45793</v>
      </c>
      <c r="C92" s="19" t="s">
        <v>155</v>
      </c>
      <c r="D92" s="19" t="s">
        <v>156</v>
      </c>
      <c r="E92" s="19" t="s">
        <v>157</v>
      </c>
      <c r="F92" s="19" t="s">
        <v>60</v>
      </c>
      <c r="G92" s="19" t="s">
        <v>97</v>
      </c>
      <c r="H92" s="19" t="s">
        <v>43</v>
      </c>
      <c r="I92" s="19" t="s">
        <v>44</v>
      </c>
      <c r="J92" s="19" t="s">
        <v>45</v>
      </c>
      <c r="K92" s="19" t="s">
        <v>46</v>
      </c>
      <c r="L92" s="20">
        <v>8</v>
      </c>
      <c r="M92" s="19">
        <v>8900</v>
      </c>
      <c r="N92" s="19">
        <v>0.05</v>
      </c>
      <c r="O92" s="19">
        <v>71200</v>
      </c>
      <c r="P92" s="19">
        <v>3560</v>
      </c>
      <c r="Q92" s="19">
        <v>0</v>
      </c>
      <c r="R92" s="19">
        <v>46098.13</v>
      </c>
      <c r="S92" s="19">
        <v>0</v>
      </c>
      <c r="T92" s="21">
        <f>IFERROR(Raw_Data!$S92/Raw_Data!$Q92,0)</f>
        <v>0</v>
      </c>
      <c r="U92" s="19" t="s">
        <v>33</v>
      </c>
      <c r="V92" s="19" t="s">
        <v>34</v>
      </c>
      <c r="W92" s="19" t="s">
        <v>55</v>
      </c>
      <c r="X92" s="19" t="s">
        <v>75</v>
      </c>
    </row>
    <row r="93" spans="1:24" x14ac:dyDescent="0.35">
      <c r="A93" s="13" t="s">
        <v>225</v>
      </c>
      <c r="B93" s="14">
        <v>45793</v>
      </c>
      <c r="C93" s="4" t="s">
        <v>84</v>
      </c>
      <c r="D93" s="4" t="s">
        <v>85</v>
      </c>
      <c r="E93" s="4" t="s">
        <v>86</v>
      </c>
      <c r="F93" s="4" t="s">
        <v>87</v>
      </c>
      <c r="G93" s="4" t="s">
        <v>42</v>
      </c>
      <c r="H93" s="4" t="s">
        <v>151</v>
      </c>
      <c r="I93" s="4" t="s">
        <v>152</v>
      </c>
      <c r="J93" s="4" t="s">
        <v>45</v>
      </c>
      <c r="K93" s="4" t="s">
        <v>153</v>
      </c>
      <c r="L93" s="15">
        <v>2</v>
      </c>
      <c r="M93" s="4">
        <v>3200</v>
      </c>
      <c r="N93" s="4">
        <v>0</v>
      </c>
      <c r="O93" s="4">
        <v>6400</v>
      </c>
      <c r="P93" s="4">
        <v>0</v>
      </c>
      <c r="Q93" s="4">
        <v>-6400</v>
      </c>
      <c r="R93" s="4">
        <v>4080.43</v>
      </c>
      <c r="S93" s="4">
        <v>-2319.5700000000002</v>
      </c>
      <c r="T93" s="16">
        <f>IFERROR(Raw_Data!$S93/Raw_Data!$Q93,0)</f>
        <v>0.36243281250000003</v>
      </c>
      <c r="U93" s="4" t="s">
        <v>54</v>
      </c>
      <c r="V93" s="4" t="s">
        <v>88</v>
      </c>
      <c r="W93" s="4" t="s">
        <v>35</v>
      </c>
      <c r="X93" s="4" t="s">
        <v>49</v>
      </c>
    </row>
    <row r="94" spans="1:24" x14ac:dyDescent="0.35">
      <c r="A94" s="17" t="s">
        <v>227</v>
      </c>
      <c r="B94" s="18">
        <v>45793</v>
      </c>
      <c r="C94" s="19" t="s">
        <v>135</v>
      </c>
      <c r="D94" s="19" t="s">
        <v>136</v>
      </c>
      <c r="E94" s="19" t="s">
        <v>137</v>
      </c>
      <c r="F94" s="19" t="s">
        <v>27</v>
      </c>
      <c r="G94" s="19" t="s">
        <v>97</v>
      </c>
      <c r="H94" s="19" t="s">
        <v>151</v>
      </c>
      <c r="I94" s="19" t="s">
        <v>152</v>
      </c>
      <c r="J94" s="19" t="s">
        <v>45</v>
      </c>
      <c r="K94" s="19" t="s">
        <v>153</v>
      </c>
      <c r="L94" s="20">
        <v>4</v>
      </c>
      <c r="M94" s="19">
        <v>3200</v>
      </c>
      <c r="N94" s="19">
        <v>0.1</v>
      </c>
      <c r="O94" s="19">
        <v>12800</v>
      </c>
      <c r="P94" s="19">
        <v>1280</v>
      </c>
      <c r="Q94" s="19">
        <v>11520</v>
      </c>
      <c r="R94" s="19">
        <v>6998.93</v>
      </c>
      <c r="S94" s="19">
        <v>4521.07</v>
      </c>
      <c r="T94" s="21">
        <f>IFERROR(Raw_Data!$S94/Raw_Data!$Q94,0)</f>
        <v>0.39245399305555551</v>
      </c>
      <c r="U94" s="19" t="s">
        <v>33</v>
      </c>
      <c r="V94" s="19" t="s">
        <v>88</v>
      </c>
      <c r="W94" s="19" t="s">
        <v>65</v>
      </c>
      <c r="X94" s="19" t="s">
        <v>36</v>
      </c>
    </row>
    <row r="95" spans="1:24" x14ac:dyDescent="0.35">
      <c r="A95" s="13" t="s">
        <v>109</v>
      </c>
      <c r="B95" s="14">
        <v>45794</v>
      </c>
      <c r="C95" s="4" t="s">
        <v>24</v>
      </c>
      <c r="D95" s="4" t="s">
        <v>25</v>
      </c>
      <c r="E95" s="4" t="s">
        <v>26</v>
      </c>
      <c r="F95" s="4" t="s">
        <v>27</v>
      </c>
      <c r="G95" s="4" t="s">
        <v>28</v>
      </c>
      <c r="H95" s="4" t="s">
        <v>110</v>
      </c>
      <c r="I95" s="4" t="s">
        <v>111</v>
      </c>
      <c r="J95" s="4" t="s">
        <v>101</v>
      </c>
      <c r="K95" s="4" t="s">
        <v>112</v>
      </c>
      <c r="L95" s="15">
        <v>6</v>
      </c>
      <c r="M95" s="4">
        <v>22000</v>
      </c>
      <c r="N95" s="4">
        <v>0</v>
      </c>
      <c r="O95" s="4">
        <v>132000</v>
      </c>
      <c r="P95" s="4">
        <v>0</v>
      </c>
      <c r="Q95" s="4">
        <v>132000</v>
      </c>
      <c r="R95" s="4">
        <v>85858.08</v>
      </c>
      <c r="S95" s="4">
        <v>46141.919999999998</v>
      </c>
      <c r="T95" s="16">
        <f>IFERROR(Raw_Data!$S95/Raw_Data!$Q95,0)</f>
        <v>0.34955999999999998</v>
      </c>
      <c r="U95" s="4" t="s">
        <v>113</v>
      </c>
      <c r="V95" s="4" t="s">
        <v>47</v>
      </c>
      <c r="W95" s="4" t="s">
        <v>65</v>
      </c>
      <c r="X95" s="4" t="s">
        <v>36</v>
      </c>
    </row>
    <row r="96" spans="1:24" x14ac:dyDescent="0.35">
      <c r="A96" s="17" t="s">
        <v>89</v>
      </c>
      <c r="B96" s="18">
        <v>45796</v>
      </c>
      <c r="C96" s="19" t="s">
        <v>90</v>
      </c>
      <c r="D96" s="19" t="s">
        <v>91</v>
      </c>
      <c r="E96" s="19" t="s">
        <v>92</v>
      </c>
      <c r="F96" s="19" t="s">
        <v>60</v>
      </c>
      <c r="G96" s="19" t="s">
        <v>42</v>
      </c>
      <c r="H96" s="19" t="s">
        <v>43</v>
      </c>
      <c r="I96" s="19" t="s">
        <v>44</v>
      </c>
      <c r="J96" s="19" t="s">
        <v>45</v>
      </c>
      <c r="K96" s="19" t="s">
        <v>46</v>
      </c>
      <c r="L96" s="20">
        <v>4</v>
      </c>
      <c r="M96" s="19">
        <v>8900</v>
      </c>
      <c r="N96" s="19">
        <v>0.2</v>
      </c>
      <c r="O96" s="19">
        <v>35600</v>
      </c>
      <c r="P96" s="19">
        <v>7120</v>
      </c>
      <c r="Q96" s="19">
        <v>28480</v>
      </c>
      <c r="R96" s="19">
        <v>18734.939999999999</v>
      </c>
      <c r="S96" s="19">
        <v>9745.06</v>
      </c>
      <c r="T96" s="21">
        <f>IFERROR(Raw_Data!$S96/Raw_Data!$Q96,0)</f>
        <v>0.34217205056179772</v>
      </c>
      <c r="U96" s="19" t="s">
        <v>54</v>
      </c>
      <c r="V96" s="19" t="s">
        <v>47</v>
      </c>
      <c r="W96" s="19" t="s">
        <v>65</v>
      </c>
      <c r="X96" s="19" t="s">
        <v>36</v>
      </c>
    </row>
    <row r="97" spans="1:24" x14ac:dyDescent="0.35">
      <c r="A97" s="13" t="s">
        <v>201</v>
      </c>
      <c r="B97" s="14">
        <v>45797</v>
      </c>
      <c r="C97" s="4" t="s">
        <v>127</v>
      </c>
      <c r="D97" s="4" t="s">
        <v>128</v>
      </c>
      <c r="E97" s="4" t="s">
        <v>129</v>
      </c>
      <c r="F97" s="4" t="s">
        <v>27</v>
      </c>
      <c r="G97" s="4" t="s">
        <v>28</v>
      </c>
      <c r="H97" s="4" t="s">
        <v>151</v>
      </c>
      <c r="I97" s="4" t="s">
        <v>152</v>
      </c>
      <c r="J97" s="4" t="s">
        <v>45</v>
      </c>
      <c r="K97" s="4" t="s">
        <v>153</v>
      </c>
      <c r="L97" s="15">
        <v>7</v>
      </c>
      <c r="M97" s="4">
        <v>3200</v>
      </c>
      <c r="N97" s="4">
        <v>0.1</v>
      </c>
      <c r="O97" s="4">
        <v>22400</v>
      </c>
      <c r="P97" s="4">
        <v>2240</v>
      </c>
      <c r="Q97" s="4">
        <v>20160</v>
      </c>
      <c r="R97" s="4">
        <v>11833.23</v>
      </c>
      <c r="S97" s="4">
        <v>8326.77</v>
      </c>
      <c r="T97" s="16">
        <f>IFERROR(Raw_Data!$S97/Raw_Data!$Q97,0)</f>
        <v>0.41303422619047619</v>
      </c>
      <c r="U97" s="4" t="s">
        <v>33</v>
      </c>
      <c r="V97" s="4" t="s">
        <v>34</v>
      </c>
      <c r="W97" s="4" t="s">
        <v>55</v>
      </c>
      <c r="X97" s="4" t="s">
        <v>36</v>
      </c>
    </row>
    <row r="98" spans="1:24" x14ac:dyDescent="0.35">
      <c r="A98" s="17" t="s">
        <v>321</v>
      </c>
      <c r="B98" s="18">
        <v>45797</v>
      </c>
      <c r="C98" s="19" t="s">
        <v>146</v>
      </c>
      <c r="D98" s="19" t="s">
        <v>147</v>
      </c>
      <c r="E98" s="19" t="s">
        <v>148</v>
      </c>
      <c r="F98" s="19" t="s">
        <v>87</v>
      </c>
      <c r="G98" s="19" t="s">
        <v>28</v>
      </c>
      <c r="H98" s="19" t="s">
        <v>72</v>
      </c>
      <c r="I98" s="19" t="s">
        <v>73</v>
      </c>
      <c r="J98" s="19" t="s">
        <v>45</v>
      </c>
      <c r="K98" s="19" t="s">
        <v>74</v>
      </c>
      <c r="L98" s="20">
        <v>2</v>
      </c>
      <c r="M98" s="19">
        <v>4200</v>
      </c>
      <c r="N98" s="19">
        <v>0.05</v>
      </c>
      <c r="O98" s="19">
        <v>8400</v>
      </c>
      <c r="P98" s="19">
        <v>420</v>
      </c>
      <c r="Q98" s="19">
        <v>7980</v>
      </c>
      <c r="R98" s="19">
        <v>5465.25</v>
      </c>
      <c r="S98" s="19">
        <v>2514.75</v>
      </c>
      <c r="T98" s="21">
        <f>IFERROR(Raw_Data!$S98/Raw_Data!$Q98,0)</f>
        <v>0.31513157894736843</v>
      </c>
      <c r="U98" s="19" t="s">
        <v>33</v>
      </c>
      <c r="V98" s="19" t="s">
        <v>139</v>
      </c>
      <c r="W98" s="19" t="s">
        <v>55</v>
      </c>
      <c r="X98" s="19" t="s">
        <v>36</v>
      </c>
    </row>
    <row r="99" spans="1:24" x14ac:dyDescent="0.35">
      <c r="A99" s="13" t="s">
        <v>23</v>
      </c>
      <c r="B99" s="14">
        <v>45798</v>
      </c>
      <c r="C99" s="4" t="s">
        <v>24</v>
      </c>
      <c r="D99" s="4" t="s">
        <v>25</v>
      </c>
      <c r="E99" s="4" t="s">
        <v>26</v>
      </c>
      <c r="F99" s="4" t="s">
        <v>27</v>
      </c>
      <c r="G99" s="4" t="s">
        <v>28</v>
      </c>
      <c r="H99" s="4" t="s">
        <v>29</v>
      </c>
      <c r="I99" s="4" t="s">
        <v>30</v>
      </c>
      <c r="J99" s="4" t="s">
        <v>31</v>
      </c>
      <c r="K99" s="4" t="s">
        <v>32</v>
      </c>
      <c r="L99" s="15">
        <v>4</v>
      </c>
      <c r="M99" s="4">
        <v>78000</v>
      </c>
      <c r="N99" s="4">
        <v>0</v>
      </c>
      <c r="O99" s="4">
        <v>312000</v>
      </c>
      <c r="P99" s="4">
        <v>0</v>
      </c>
      <c r="Q99" s="4">
        <v>312000</v>
      </c>
      <c r="R99" s="4">
        <v>191408.6</v>
      </c>
      <c r="S99" s="4">
        <v>120591.4</v>
      </c>
      <c r="T99" s="16">
        <f>IFERROR(Raw_Data!$S99/Raw_Data!$Q99,0)</f>
        <v>0.38651089743589739</v>
      </c>
      <c r="U99" s="4" t="s">
        <v>33</v>
      </c>
      <c r="V99" s="4" t="s">
        <v>34</v>
      </c>
      <c r="W99" s="4" t="s">
        <v>35</v>
      </c>
      <c r="X99" s="4" t="s">
        <v>36</v>
      </c>
    </row>
    <row r="100" spans="1:24" x14ac:dyDescent="0.35">
      <c r="A100" s="17" t="s">
        <v>252</v>
      </c>
      <c r="B100" s="18">
        <v>45798</v>
      </c>
      <c r="C100" s="19" t="s">
        <v>155</v>
      </c>
      <c r="D100" s="19" t="s">
        <v>156</v>
      </c>
      <c r="E100" s="19" t="s">
        <v>157</v>
      </c>
      <c r="F100" s="19" t="s">
        <v>60</v>
      </c>
      <c r="G100" s="19" t="s">
        <v>97</v>
      </c>
      <c r="H100" s="19" t="s">
        <v>43</v>
      </c>
      <c r="I100" s="19" t="s">
        <v>44</v>
      </c>
      <c r="J100" s="19" t="s">
        <v>45</v>
      </c>
      <c r="K100" s="19" t="s">
        <v>46</v>
      </c>
      <c r="L100" s="20">
        <v>1</v>
      </c>
      <c r="M100" s="19">
        <v>8900</v>
      </c>
      <c r="N100" s="19">
        <v>0.15</v>
      </c>
      <c r="O100" s="19">
        <v>8900</v>
      </c>
      <c r="P100" s="19">
        <v>1335</v>
      </c>
      <c r="Q100" s="19">
        <v>0</v>
      </c>
      <c r="R100" s="19">
        <v>5958.32</v>
      </c>
      <c r="S100" s="19">
        <v>0</v>
      </c>
      <c r="T100" s="21">
        <f>IFERROR(Raw_Data!$S100/Raw_Data!$Q100,0)</f>
        <v>0</v>
      </c>
      <c r="U100" s="19" t="s">
        <v>54</v>
      </c>
      <c r="V100" s="19" t="s">
        <v>70</v>
      </c>
      <c r="W100" s="19" t="s">
        <v>55</v>
      </c>
      <c r="X100" s="19" t="s">
        <v>75</v>
      </c>
    </row>
    <row r="101" spans="1:24" x14ac:dyDescent="0.35">
      <c r="A101" s="13" t="s">
        <v>325</v>
      </c>
      <c r="B101" s="14">
        <v>45798</v>
      </c>
      <c r="C101" s="4" t="s">
        <v>67</v>
      </c>
      <c r="D101" s="4" t="s">
        <v>68</v>
      </c>
      <c r="E101" s="4" t="s">
        <v>69</v>
      </c>
      <c r="F101" s="4" t="s">
        <v>41</v>
      </c>
      <c r="G101" s="4" t="s">
        <v>28</v>
      </c>
      <c r="H101" s="4" t="s">
        <v>43</v>
      </c>
      <c r="I101" s="4" t="s">
        <v>44</v>
      </c>
      <c r="J101" s="4" t="s">
        <v>45</v>
      </c>
      <c r="K101" s="4" t="s">
        <v>46</v>
      </c>
      <c r="L101" s="15">
        <v>1</v>
      </c>
      <c r="M101" s="4">
        <v>8900</v>
      </c>
      <c r="N101" s="4">
        <v>0</v>
      </c>
      <c r="O101" s="4">
        <v>8900</v>
      </c>
      <c r="P101" s="4">
        <v>0</v>
      </c>
      <c r="Q101" s="4">
        <v>8900</v>
      </c>
      <c r="R101" s="4">
        <v>6595.65</v>
      </c>
      <c r="S101" s="4">
        <v>2304.35</v>
      </c>
      <c r="T101" s="16">
        <f>IFERROR(Raw_Data!$S101/Raw_Data!$Q101,0)</f>
        <v>0.25891573033707865</v>
      </c>
      <c r="U101" s="4" t="s">
        <v>113</v>
      </c>
      <c r="V101" s="4" t="s">
        <v>70</v>
      </c>
      <c r="W101" s="4" t="s">
        <v>48</v>
      </c>
      <c r="X101" s="4" t="s">
        <v>36</v>
      </c>
    </row>
    <row r="102" spans="1:24" x14ac:dyDescent="0.35">
      <c r="A102" s="17" t="s">
        <v>388</v>
      </c>
      <c r="B102" s="18">
        <v>45798</v>
      </c>
      <c r="C102" s="19" t="s">
        <v>142</v>
      </c>
      <c r="D102" s="19" t="s">
        <v>143</v>
      </c>
      <c r="E102" s="19" t="s">
        <v>144</v>
      </c>
      <c r="F102" s="19" t="s">
        <v>87</v>
      </c>
      <c r="G102" s="19" t="s">
        <v>28</v>
      </c>
      <c r="H102" s="19" t="s">
        <v>61</v>
      </c>
      <c r="I102" s="19" t="s">
        <v>62</v>
      </c>
      <c r="J102" s="19" t="s">
        <v>45</v>
      </c>
      <c r="K102" s="19" t="s">
        <v>63</v>
      </c>
      <c r="L102" s="20">
        <v>1</v>
      </c>
      <c r="M102" s="19">
        <v>1800</v>
      </c>
      <c r="N102" s="19">
        <v>0.15</v>
      </c>
      <c r="O102" s="19">
        <v>1800</v>
      </c>
      <c r="P102" s="19">
        <v>270</v>
      </c>
      <c r="Q102" s="19">
        <v>0</v>
      </c>
      <c r="R102" s="19">
        <v>1235.7</v>
      </c>
      <c r="S102" s="19">
        <v>0</v>
      </c>
      <c r="T102" s="21">
        <f>IFERROR(Raw_Data!$S102/Raw_Data!$Q102,0)</f>
        <v>0</v>
      </c>
      <c r="U102" s="19" t="s">
        <v>54</v>
      </c>
      <c r="V102" s="19" t="s">
        <v>34</v>
      </c>
      <c r="W102" s="19" t="s">
        <v>55</v>
      </c>
      <c r="X102" s="19" t="s">
        <v>75</v>
      </c>
    </row>
    <row r="103" spans="1:24" x14ac:dyDescent="0.35">
      <c r="A103" s="13" t="s">
        <v>264</v>
      </c>
      <c r="B103" s="14">
        <v>45799</v>
      </c>
      <c r="C103" s="4" t="s">
        <v>146</v>
      </c>
      <c r="D103" s="4" t="s">
        <v>147</v>
      </c>
      <c r="E103" s="4" t="s">
        <v>148</v>
      </c>
      <c r="F103" s="4" t="s">
        <v>87</v>
      </c>
      <c r="G103" s="4" t="s">
        <v>28</v>
      </c>
      <c r="H103" s="4" t="s">
        <v>43</v>
      </c>
      <c r="I103" s="4" t="s">
        <v>44</v>
      </c>
      <c r="J103" s="4" t="s">
        <v>45</v>
      </c>
      <c r="K103" s="4" t="s">
        <v>46</v>
      </c>
      <c r="L103" s="15">
        <v>4</v>
      </c>
      <c r="M103" s="4">
        <v>8900</v>
      </c>
      <c r="N103" s="4">
        <v>0</v>
      </c>
      <c r="O103" s="4">
        <v>35600</v>
      </c>
      <c r="P103" s="4">
        <v>0</v>
      </c>
      <c r="Q103" s="4">
        <v>35600</v>
      </c>
      <c r="R103" s="4">
        <v>28756.35</v>
      </c>
      <c r="S103" s="4">
        <v>6843.65</v>
      </c>
      <c r="T103" s="16">
        <f>IFERROR(Raw_Data!$S103/Raw_Data!$Q103,0)</f>
        <v>0.19223735955056179</v>
      </c>
      <c r="U103" s="4" t="s">
        <v>54</v>
      </c>
      <c r="V103" s="4" t="s">
        <v>34</v>
      </c>
      <c r="W103" s="4" t="s">
        <v>48</v>
      </c>
      <c r="X103" s="4" t="s">
        <v>36</v>
      </c>
    </row>
    <row r="104" spans="1:24" x14ac:dyDescent="0.35">
      <c r="A104" s="17" t="s">
        <v>424</v>
      </c>
      <c r="B104" s="18">
        <v>45801</v>
      </c>
      <c r="C104" s="19" t="s">
        <v>57</v>
      </c>
      <c r="D104" s="19" t="s">
        <v>58</v>
      </c>
      <c r="E104" s="19" t="s">
        <v>59</v>
      </c>
      <c r="F104" s="19" t="s">
        <v>60</v>
      </c>
      <c r="G104" s="19" t="s">
        <v>42</v>
      </c>
      <c r="H104" s="19" t="s">
        <v>43</v>
      </c>
      <c r="I104" s="19" t="s">
        <v>44</v>
      </c>
      <c r="J104" s="19" t="s">
        <v>45</v>
      </c>
      <c r="K104" s="19" t="s">
        <v>46</v>
      </c>
      <c r="L104" s="20">
        <v>7</v>
      </c>
      <c r="M104" s="19">
        <v>8900</v>
      </c>
      <c r="N104" s="19">
        <v>0.05</v>
      </c>
      <c r="O104" s="19">
        <v>62300</v>
      </c>
      <c r="P104" s="19">
        <v>3115</v>
      </c>
      <c r="Q104" s="19">
        <v>-59185</v>
      </c>
      <c r="R104" s="19">
        <v>35945.01</v>
      </c>
      <c r="S104" s="19">
        <v>-23239.99</v>
      </c>
      <c r="T104" s="21">
        <f>IFERROR(Raw_Data!$S104/Raw_Data!$Q104,0)</f>
        <v>0.39266689194897358</v>
      </c>
      <c r="U104" s="19" t="s">
        <v>54</v>
      </c>
      <c r="V104" s="19" t="s">
        <v>70</v>
      </c>
      <c r="W104" s="19" t="s">
        <v>48</v>
      </c>
      <c r="X104" s="19" t="s">
        <v>49</v>
      </c>
    </row>
    <row r="105" spans="1:24" x14ac:dyDescent="0.35">
      <c r="A105" s="13" t="s">
        <v>233</v>
      </c>
      <c r="B105" s="14">
        <v>45805</v>
      </c>
      <c r="C105" s="4" t="s">
        <v>142</v>
      </c>
      <c r="D105" s="4" t="s">
        <v>143</v>
      </c>
      <c r="E105" s="4" t="s">
        <v>144</v>
      </c>
      <c r="F105" s="4" t="s">
        <v>87</v>
      </c>
      <c r="G105" s="4" t="s">
        <v>28</v>
      </c>
      <c r="H105" s="4" t="s">
        <v>99</v>
      </c>
      <c r="I105" s="4" t="s">
        <v>100</v>
      </c>
      <c r="J105" s="4" t="s">
        <v>101</v>
      </c>
      <c r="K105" s="4" t="s">
        <v>102</v>
      </c>
      <c r="L105" s="15">
        <v>7</v>
      </c>
      <c r="M105" s="4">
        <v>12500</v>
      </c>
      <c r="N105" s="4">
        <v>0.15</v>
      </c>
      <c r="O105" s="4">
        <v>87500</v>
      </c>
      <c r="P105" s="4">
        <v>13125</v>
      </c>
      <c r="Q105" s="4">
        <v>74375</v>
      </c>
      <c r="R105" s="4">
        <v>43792.54</v>
      </c>
      <c r="S105" s="4">
        <v>30582.46</v>
      </c>
      <c r="T105" s="16">
        <f>IFERROR(Raw_Data!$S105/Raw_Data!$Q105,0)</f>
        <v>0.41119273949579832</v>
      </c>
      <c r="U105" s="4" t="s">
        <v>113</v>
      </c>
      <c r="V105" s="4" t="s">
        <v>64</v>
      </c>
      <c r="W105" s="4" t="s">
        <v>65</v>
      </c>
      <c r="X105" s="4" t="s">
        <v>36</v>
      </c>
    </row>
    <row r="106" spans="1:24" x14ac:dyDescent="0.35">
      <c r="A106" s="17" t="s">
        <v>360</v>
      </c>
      <c r="B106" s="18">
        <v>45805</v>
      </c>
      <c r="C106" s="19" t="s">
        <v>77</v>
      </c>
      <c r="D106" s="19" t="s">
        <v>78</v>
      </c>
      <c r="E106" s="19" t="s">
        <v>79</v>
      </c>
      <c r="F106" s="19" t="s">
        <v>60</v>
      </c>
      <c r="G106" s="19" t="s">
        <v>28</v>
      </c>
      <c r="H106" s="19" t="s">
        <v>61</v>
      </c>
      <c r="I106" s="19" t="s">
        <v>62</v>
      </c>
      <c r="J106" s="19" t="s">
        <v>45</v>
      </c>
      <c r="K106" s="19" t="s">
        <v>63</v>
      </c>
      <c r="L106" s="20">
        <v>4</v>
      </c>
      <c r="M106" s="19">
        <v>1800</v>
      </c>
      <c r="N106" s="19">
        <v>0.2</v>
      </c>
      <c r="O106" s="19">
        <v>7200</v>
      </c>
      <c r="P106" s="19">
        <v>1440</v>
      </c>
      <c r="Q106" s="19">
        <v>5760</v>
      </c>
      <c r="R106" s="19">
        <v>4315.38</v>
      </c>
      <c r="S106" s="19">
        <v>1444.62</v>
      </c>
      <c r="T106" s="21">
        <f>IFERROR(Raw_Data!$S106/Raw_Data!$Q106,0)</f>
        <v>0.25080208333333331</v>
      </c>
      <c r="U106" s="19" t="s">
        <v>113</v>
      </c>
      <c r="V106" s="19" t="s">
        <v>64</v>
      </c>
      <c r="W106" s="19" t="s">
        <v>65</v>
      </c>
      <c r="X106" s="19" t="s">
        <v>36</v>
      </c>
    </row>
    <row r="107" spans="1:24" x14ac:dyDescent="0.35">
      <c r="A107" s="13" t="s">
        <v>418</v>
      </c>
      <c r="B107" s="14">
        <v>45807</v>
      </c>
      <c r="C107" s="4" t="s">
        <v>94</v>
      </c>
      <c r="D107" s="4" t="s">
        <v>95</v>
      </c>
      <c r="E107" s="4" t="s">
        <v>96</v>
      </c>
      <c r="F107" s="4" t="s">
        <v>60</v>
      </c>
      <c r="G107" s="4" t="s">
        <v>97</v>
      </c>
      <c r="H107" s="4" t="s">
        <v>29</v>
      </c>
      <c r="I107" s="4" t="s">
        <v>30</v>
      </c>
      <c r="J107" s="4" t="s">
        <v>31</v>
      </c>
      <c r="K107" s="4" t="s">
        <v>32</v>
      </c>
      <c r="L107" s="15">
        <v>7</v>
      </c>
      <c r="M107" s="4">
        <v>78000</v>
      </c>
      <c r="N107" s="4">
        <v>0.1</v>
      </c>
      <c r="O107" s="4">
        <v>546000</v>
      </c>
      <c r="P107" s="4">
        <v>54600</v>
      </c>
      <c r="Q107" s="4">
        <v>0</v>
      </c>
      <c r="R107" s="4">
        <v>376904.09</v>
      </c>
      <c r="S107" s="4">
        <v>0</v>
      </c>
      <c r="T107" s="16">
        <f>IFERROR(Raw_Data!$S107/Raw_Data!$Q107,0)</f>
        <v>0</v>
      </c>
      <c r="U107" s="4" t="s">
        <v>33</v>
      </c>
      <c r="V107" s="4" t="s">
        <v>88</v>
      </c>
      <c r="W107" s="4" t="s">
        <v>48</v>
      </c>
      <c r="X107" s="4" t="s">
        <v>75</v>
      </c>
    </row>
    <row r="108" spans="1:24" x14ac:dyDescent="0.35">
      <c r="A108" s="17" t="s">
        <v>158</v>
      </c>
      <c r="B108" s="18">
        <v>45809</v>
      </c>
      <c r="C108" s="19" t="s">
        <v>122</v>
      </c>
      <c r="D108" s="19" t="s">
        <v>123</v>
      </c>
      <c r="E108" s="19" t="s">
        <v>124</v>
      </c>
      <c r="F108" s="19" t="s">
        <v>87</v>
      </c>
      <c r="G108" s="19" t="s">
        <v>42</v>
      </c>
      <c r="H108" s="19" t="s">
        <v>151</v>
      </c>
      <c r="I108" s="19" t="s">
        <v>152</v>
      </c>
      <c r="J108" s="19" t="s">
        <v>45</v>
      </c>
      <c r="K108" s="19" t="s">
        <v>153</v>
      </c>
      <c r="L108" s="20">
        <v>4</v>
      </c>
      <c r="M108" s="19">
        <v>3200</v>
      </c>
      <c r="N108" s="19">
        <v>0</v>
      </c>
      <c r="O108" s="19">
        <v>12800</v>
      </c>
      <c r="P108" s="19">
        <v>0</v>
      </c>
      <c r="Q108" s="19">
        <v>-12800</v>
      </c>
      <c r="R108" s="19">
        <v>9203.24</v>
      </c>
      <c r="S108" s="19">
        <v>-3596.76</v>
      </c>
      <c r="T108" s="21">
        <f>IFERROR(Raw_Data!$S108/Raw_Data!$Q108,0)</f>
        <v>0.28099687500000003</v>
      </c>
      <c r="U108" s="19" t="s">
        <v>54</v>
      </c>
      <c r="V108" s="19" t="s">
        <v>34</v>
      </c>
      <c r="W108" s="19" t="s">
        <v>65</v>
      </c>
      <c r="X108" s="19" t="s">
        <v>49</v>
      </c>
    </row>
    <row r="109" spans="1:24" x14ac:dyDescent="0.35">
      <c r="A109" s="13" t="s">
        <v>219</v>
      </c>
      <c r="B109" s="14">
        <v>45809</v>
      </c>
      <c r="C109" s="4" t="s">
        <v>24</v>
      </c>
      <c r="D109" s="4" t="s">
        <v>25</v>
      </c>
      <c r="E109" s="4" t="s">
        <v>26</v>
      </c>
      <c r="F109" s="4" t="s">
        <v>27</v>
      </c>
      <c r="G109" s="4" t="s">
        <v>28</v>
      </c>
      <c r="H109" s="4" t="s">
        <v>151</v>
      </c>
      <c r="I109" s="4" t="s">
        <v>152</v>
      </c>
      <c r="J109" s="4" t="s">
        <v>45</v>
      </c>
      <c r="K109" s="4" t="s">
        <v>153</v>
      </c>
      <c r="L109" s="15">
        <v>4</v>
      </c>
      <c r="M109" s="4">
        <v>3200</v>
      </c>
      <c r="N109" s="4">
        <v>0.05</v>
      </c>
      <c r="O109" s="4">
        <v>12800</v>
      </c>
      <c r="P109" s="4">
        <v>640</v>
      </c>
      <c r="Q109" s="4">
        <v>12160</v>
      </c>
      <c r="R109" s="4">
        <v>7576.48</v>
      </c>
      <c r="S109" s="4">
        <v>4583.5200000000004</v>
      </c>
      <c r="T109" s="16">
        <f>IFERROR(Raw_Data!$S109/Raw_Data!$Q109,0)</f>
        <v>0.37693421052631582</v>
      </c>
      <c r="U109" s="4" t="s">
        <v>33</v>
      </c>
      <c r="V109" s="4" t="s">
        <v>70</v>
      </c>
      <c r="W109" s="4" t="s">
        <v>48</v>
      </c>
      <c r="X109" s="4" t="s">
        <v>36</v>
      </c>
    </row>
    <row r="110" spans="1:24" x14ac:dyDescent="0.35">
      <c r="A110" s="17" t="s">
        <v>224</v>
      </c>
      <c r="B110" s="18">
        <v>45810</v>
      </c>
      <c r="C110" s="19" t="s">
        <v>90</v>
      </c>
      <c r="D110" s="19" t="s">
        <v>91</v>
      </c>
      <c r="E110" s="19" t="s">
        <v>92</v>
      </c>
      <c r="F110" s="19" t="s">
        <v>60</v>
      </c>
      <c r="G110" s="19" t="s">
        <v>42</v>
      </c>
      <c r="H110" s="19" t="s">
        <v>99</v>
      </c>
      <c r="I110" s="19" t="s">
        <v>100</v>
      </c>
      <c r="J110" s="19" t="s">
        <v>101</v>
      </c>
      <c r="K110" s="19" t="s">
        <v>102</v>
      </c>
      <c r="L110" s="20">
        <v>7</v>
      </c>
      <c r="M110" s="19">
        <v>12500</v>
      </c>
      <c r="N110" s="19">
        <v>0.05</v>
      </c>
      <c r="O110" s="19">
        <v>87500</v>
      </c>
      <c r="P110" s="19">
        <v>4375</v>
      </c>
      <c r="Q110" s="19">
        <v>83125</v>
      </c>
      <c r="R110" s="19">
        <v>59556.66</v>
      </c>
      <c r="S110" s="19">
        <v>23568.34</v>
      </c>
      <c r="T110" s="21">
        <f>IFERROR(Raw_Data!$S110/Raw_Data!$Q110,0)</f>
        <v>0.28352890225563909</v>
      </c>
      <c r="U110" s="19" t="s">
        <v>33</v>
      </c>
      <c r="V110" s="19" t="s">
        <v>34</v>
      </c>
      <c r="W110" s="19" t="s">
        <v>35</v>
      </c>
      <c r="X110" s="19" t="s">
        <v>36</v>
      </c>
    </row>
    <row r="111" spans="1:24" x14ac:dyDescent="0.35">
      <c r="A111" s="13" t="s">
        <v>240</v>
      </c>
      <c r="B111" s="14">
        <v>45810</v>
      </c>
      <c r="C111" s="4" t="s">
        <v>155</v>
      </c>
      <c r="D111" s="4" t="s">
        <v>156</v>
      </c>
      <c r="E111" s="4" t="s">
        <v>157</v>
      </c>
      <c r="F111" s="4" t="s">
        <v>60</v>
      </c>
      <c r="G111" s="4" t="s">
        <v>97</v>
      </c>
      <c r="H111" s="4" t="s">
        <v>61</v>
      </c>
      <c r="I111" s="4" t="s">
        <v>62</v>
      </c>
      <c r="J111" s="4" t="s">
        <v>45</v>
      </c>
      <c r="K111" s="4" t="s">
        <v>63</v>
      </c>
      <c r="L111" s="15">
        <v>8</v>
      </c>
      <c r="M111" s="4">
        <v>1800</v>
      </c>
      <c r="N111" s="4">
        <v>0</v>
      </c>
      <c r="O111" s="4">
        <v>14400</v>
      </c>
      <c r="P111" s="4">
        <v>0</v>
      </c>
      <c r="Q111" s="4">
        <v>14400</v>
      </c>
      <c r="R111" s="4">
        <v>9895.27</v>
      </c>
      <c r="S111" s="4">
        <v>4504.7299999999996</v>
      </c>
      <c r="T111" s="16">
        <f>IFERROR(Raw_Data!$S111/Raw_Data!$Q111,0)</f>
        <v>0.31282847222222221</v>
      </c>
      <c r="U111" s="4" t="s">
        <v>113</v>
      </c>
      <c r="V111" s="4" t="s">
        <v>64</v>
      </c>
      <c r="W111" s="4" t="s">
        <v>55</v>
      </c>
      <c r="X111" s="4" t="s">
        <v>36</v>
      </c>
    </row>
    <row r="112" spans="1:24" x14ac:dyDescent="0.35">
      <c r="A112" s="17" t="s">
        <v>390</v>
      </c>
      <c r="B112" s="18">
        <v>45811</v>
      </c>
      <c r="C112" s="19" t="s">
        <v>142</v>
      </c>
      <c r="D112" s="19" t="s">
        <v>143</v>
      </c>
      <c r="E112" s="19" t="s">
        <v>144</v>
      </c>
      <c r="F112" s="19" t="s">
        <v>87</v>
      </c>
      <c r="G112" s="19" t="s">
        <v>28</v>
      </c>
      <c r="H112" s="19" t="s">
        <v>118</v>
      </c>
      <c r="I112" s="19" t="s">
        <v>119</v>
      </c>
      <c r="J112" s="19" t="s">
        <v>31</v>
      </c>
      <c r="K112" s="19" t="s">
        <v>120</v>
      </c>
      <c r="L112" s="20">
        <v>7</v>
      </c>
      <c r="M112" s="19">
        <v>14500</v>
      </c>
      <c r="N112" s="19">
        <v>0</v>
      </c>
      <c r="O112" s="19">
        <v>101500</v>
      </c>
      <c r="P112" s="19">
        <v>0</v>
      </c>
      <c r="Q112" s="19">
        <v>101500</v>
      </c>
      <c r="R112" s="19">
        <v>77247.58</v>
      </c>
      <c r="S112" s="19">
        <v>24252.42</v>
      </c>
      <c r="T112" s="21">
        <f>IFERROR(Raw_Data!$S112/Raw_Data!$Q112,0)</f>
        <v>0.23894009852216747</v>
      </c>
      <c r="U112" s="19" t="s">
        <v>54</v>
      </c>
      <c r="V112" s="19" t="s">
        <v>88</v>
      </c>
      <c r="W112" s="19" t="s">
        <v>65</v>
      </c>
      <c r="X112" s="19" t="s">
        <v>36</v>
      </c>
    </row>
    <row r="113" spans="1:24" x14ac:dyDescent="0.35">
      <c r="A113" s="13" t="s">
        <v>420</v>
      </c>
      <c r="B113" s="14">
        <v>45811</v>
      </c>
      <c r="C113" s="4" t="s">
        <v>170</v>
      </c>
      <c r="D113" s="4" t="s">
        <v>171</v>
      </c>
      <c r="E113" s="4" t="s">
        <v>172</v>
      </c>
      <c r="F113" s="4" t="s">
        <v>27</v>
      </c>
      <c r="G113" s="4" t="s">
        <v>97</v>
      </c>
      <c r="H113" s="4" t="s">
        <v>43</v>
      </c>
      <c r="I113" s="4" t="s">
        <v>44</v>
      </c>
      <c r="J113" s="4" t="s">
        <v>45</v>
      </c>
      <c r="K113" s="4" t="s">
        <v>46</v>
      </c>
      <c r="L113" s="15">
        <v>8</v>
      </c>
      <c r="M113" s="4">
        <v>8900</v>
      </c>
      <c r="N113" s="4">
        <v>0</v>
      </c>
      <c r="O113" s="4">
        <v>71200</v>
      </c>
      <c r="P113" s="4">
        <v>0</v>
      </c>
      <c r="Q113" s="4">
        <v>71200</v>
      </c>
      <c r="R113" s="4">
        <v>47466.9</v>
      </c>
      <c r="S113" s="4">
        <v>23733.1</v>
      </c>
      <c r="T113" s="16">
        <f>IFERROR(Raw_Data!$S113/Raw_Data!$Q113,0)</f>
        <v>0.33333005617977524</v>
      </c>
      <c r="U113" s="4" t="s">
        <v>33</v>
      </c>
      <c r="V113" s="4" t="s">
        <v>34</v>
      </c>
      <c r="W113" s="4" t="s">
        <v>55</v>
      </c>
      <c r="X113" s="4" t="s">
        <v>36</v>
      </c>
    </row>
    <row r="114" spans="1:24" x14ac:dyDescent="0.35">
      <c r="A114" s="17" t="s">
        <v>254</v>
      </c>
      <c r="B114" s="18">
        <v>45816</v>
      </c>
      <c r="C114" s="19" t="s">
        <v>24</v>
      </c>
      <c r="D114" s="19" t="s">
        <v>25</v>
      </c>
      <c r="E114" s="19" t="s">
        <v>26</v>
      </c>
      <c r="F114" s="19" t="s">
        <v>27</v>
      </c>
      <c r="G114" s="19" t="s">
        <v>28</v>
      </c>
      <c r="H114" s="19" t="s">
        <v>29</v>
      </c>
      <c r="I114" s="19" t="s">
        <v>30</v>
      </c>
      <c r="J114" s="19" t="s">
        <v>31</v>
      </c>
      <c r="K114" s="19" t="s">
        <v>32</v>
      </c>
      <c r="L114" s="20">
        <v>8</v>
      </c>
      <c r="M114" s="19">
        <v>78000</v>
      </c>
      <c r="N114" s="19">
        <v>0</v>
      </c>
      <c r="O114" s="19">
        <v>624000</v>
      </c>
      <c r="P114" s="19">
        <v>0</v>
      </c>
      <c r="Q114" s="19">
        <v>0</v>
      </c>
      <c r="R114" s="19">
        <v>448716.97</v>
      </c>
      <c r="S114" s="19">
        <v>0</v>
      </c>
      <c r="T114" s="21">
        <f>IFERROR(Raw_Data!$S114/Raw_Data!$Q114,0)</f>
        <v>0</v>
      </c>
      <c r="U114" s="19" t="s">
        <v>54</v>
      </c>
      <c r="V114" s="19" t="s">
        <v>47</v>
      </c>
      <c r="W114" s="19" t="s">
        <v>65</v>
      </c>
      <c r="X114" s="19" t="s">
        <v>75</v>
      </c>
    </row>
    <row r="115" spans="1:24" x14ac:dyDescent="0.35">
      <c r="A115" s="13" t="s">
        <v>274</v>
      </c>
      <c r="B115" s="14">
        <v>45818</v>
      </c>
      <c r="C115" s="4" t="s">
        <v>57</v>
      </c>
      <c r="D115" s="4" t="s">
        <v>58</v>
      </c>
      <c r="E115" s="4" t="s">
        <v>59</v>
      </c>
      <c r="F115" s="4" t="s">
        <v>60</v>
      </c>
      <c r="G115" s="4" t="s">
        <v>42</v>
      </c>
      <c r="H115" s="4" t="s">
        <v>43</v>
      </c>
      <c r="I115" s="4" t="s">
        <v>44</v>
      </c>
      <c r="J115" s="4" t="s">
        <v>45</v>
      </c>
      <c r="K115" s="4" t="s">
        <v>46</v>
      </c>
      <c r="L115" s="15">
        <v>5</v>
      </c>
      <c r="M115" s="4">
        <v>8900</v>
      </c>
      <c r="N115" s="4">
        <v>0.05</v>
      </c>
      <c r="O115" s="4">
        <v>44500</v>
      </c>
      <c r="P115" s="4">
        <v>2225</v>
      </c>
      <c r="Q115" s="4">
        <v>0</v>
      </c>
      <c r="R115" s="4">
        <v>34194.65</v>
      </c>
      <c r="S115" s="4">
        <v>0</v>
      </c>
      <c r="T115" s="16">
        <f>IFERROR(Raw_Data!$S115/Raw_Data!$Q115,0)</f>
        <v>0</v>
      </c>
      <c r="U115" s="4" t="s">
        <v>113</v>
      </c>
      <c r="V115" s="4" t="s">
        <v>47</v>
      </c>
      <c r="W115" s="4" t="s">
        <v>35</v>
      </c>
      <c r="X115" s="4" t="s">
        <v>75</v>
      </c>
    </row>
    <row r="116" spans="1:24" x14ac:dyDescent="0.35">
      <c r="A116" s="17" t="s">
        <v>212</v>
      </c>
      <c r="B116" s="18">
        <v>45823</v>
      </c>
      <c r="C116" s="19" t="s">
        <v>38</v>
      </c>
      <c r="D116" s="19" t="s">
        <v>39</v>
      </c>
      <c r="E116" s="19" t="s">
        <v>40</v>
      </c>
      <c r="F116" s="19" t="s">
        <v>41</v>
      </c>
      <c r="G116" s="19" t="s">
        <v>42</v>
      </c>
      <c r="H116" s="19" t="s">
        <v>61</v>
      </c>
      <c r="I116" s="19" t="s">
        <v>62</v>
      </c>
      <c r="J116" s="19" t="s">
        <v>45</v>
      </c>
      <c r="K116" s="19" t="s">
        <v>63</v>
      </c>
      <c r="L116" s="20">
        <v>4</v>
      </c>
      <c r="M116" s="19">
        <v>1800</v>
      </c>
      <c r="N116" s="19">
        <v>0</v>
      </c>
      <c r="O116" s="19">
        <v>7200</v>
      </c>
      <c r="P116" s="19">
        <v>0</v>
      </c>
      <c r="Q116" s="19">
        <v>7200</v>
      </c>
      <c r="R116" s="19">
        <v>4657.99</v>
      </c>
      <c r="S116" s="19">
        <v>2542.0100000000002</v>
      </c>
      <c r="T116" s="21">
        <f>IFERROR(Raw_Data!$S116/Raw_Data!$Q116,0)</f>
        <v>0.35305694444444446</v>
      </c>
      <c r="U116" s="19" t="s">
        <v>54</v>
      </c>
      <c r="V116" s="19" t="s">
        <v>139</v>
      </c>
      <c r="W116" s="19" t="s">
        <v>55</v>
      </c>
      <c r="X116" s="19" t="s">
        <v>36</v>
      </c>
    </row>
    <row r="117" spans="1:24" x14ac:dyDescent="0.35">
      <c r="A117" s="13" t="s">
        <v>268</v>
      </c>
      <c r="B117" s="14">
        <v>45823</v>
      </c>
      <c r="C117" s="4" t="s">
        <v>77</v>
      </c>
      <c r="D117" s="4" t="s">
        <v>78</v>
      </c>
      <c r="E117" s="4" t="s">
        <v>79</v>
      </c>
      <c r="F117" s="4" t="s">
        <v>60</v>
      </c>
      <c r="G117" s="4" t="s">
        <v>28</v>
      </c>
      <c r="H117" s="4" t="s">
        <v>162</v>
      </c>
      <c r="I117" s="4" t="s">
        <v>163</v>
      </c>
      <c r="J117" s="4" t="s">
        <v>31</v>
      </c>
      <c r="K117" s="4" t="s">
        <v>164</v>
      </c>
      <c r="L117" s="15">
        <v>1</v>
      </c>
      <c r="M117" s="4">
        <v>16500</v>
      </c>
      <c r="N117" s="4">
        <v>0</v>
      </c>
      <c r="O117" s="4">
        <v>16500</v>
      </c>
      <c r="P117" s="4">
        <v>0</v>
      </c>
      <c r="Q117" s="4">
        <v>16500</v>
      </c>
      <c r="R117" s="4">
        <v>10620.86</v>
      </c>
      <c r="S117" s="4">
        <v>5879.14</v>
      </c>
      <c r="T117" s="16">
        <f>IFERROR(Raw_Data!$S117/Raw_Data!$Q117,0)</f>
        <v>0.35631151515151516</v>
      </c>
      <c r="U117" s="4" t="s">
        <v>33</v>
      </c>
      <c r="V117" s="4" t="s">
        <v>139</v>
      </c>
      <c r="W117" s="4" t="s">
        <v>35</v>
      </c>
      <c r="X117" s="4" t="s">
        <v>36</v>
      </c>
    </row>
    <row r="118" spans="1:24" x14ac:dyDescent="0.35">
      <c r="A118" s="17" t="s">
        <v>370</v>
      </c>
      <c r="B118" s="18">
        <v>45825</v>
      </c>
      <c r="C118" s="19" t="s">
        <v>142</v>
      </c>
      <c r="D118" s="19" t="s">
        <v>143</v>
      </c>
      <c r="E118" s="19" t="s">
        <v>144</v>
      </c>
      <c r="F118" s="19" t="s">
        <v>87</v>
      </c>
      <c r="G118" s="19" t="s">
        <v>28</v>
      </c>
      <c r="H118" s="19" t="s">
        <v>110</v>
      </c>
      <c r="I118" s="19" t="s">
        <v>111</v>
      </c>
      <c r="J118" s="19" t="s">
        <v>101</v>
      </c>
      <c r="K118" s="19" t="s">
        <v>112</v>
      </c>
      <c r="L118" s="20">
        <v>2</v>
      </c>
      <c r="M118" s="19">
        <v>22000</v>
      </c>
      <c r="N118" s="19">
        <v>0.1</v>
      </c>
      <c r="O118" s="19">
        <v>44000</v>
      </c>
      <c r="P118" s="19">
        <v>4400</v>
      </c>
      <c r="Q118" s="19">
        <v>39600</v>
      </c>
      <c r="R118" s="19">
        <v>29328.61</v>
      </c>
      <c r="S118" s="19">
        <v>10271.39</v>
      </c>
      <c r="T118" s="21">
        <f>IFERROR(Raw_Data!$S118/Raw_Data!$Q118,0)</f>
        <v>0.25937853535353533</v>
      </c>
      <c r="U118" s="19" t="s">
        <v>54</v>
      </c>
      <c r="V118" s="19" t="s">
        <v>139</v>
      </c>
      <c r="W118" s="19" t="s">
        <v>65</v>
      </c>
      <c r="X118" s="19" t="s">
        <v>36</v>
      </c>
    </row>
    <row r="119" spans="1:24" x14ac:dyDescent="0.35">
      <c r="A119" s="13" t="s">
        <v>217</v>
      </c>
      <c r="B119" s="14">
        <v>45827</v>
      </c>
      <c r="C119" s="4" t="s">
        <v>142</v>
      </c>
      <c r="D119" s="4" t="s">
        <v>143</v>
      </c>
      <c r="E119" s="4" t="s">
        <v>144</v>
      </c>
      <c r="F119" s="4" t="s">
        <v>87</v>
      </c>
      <c r="G119" s="4" t="s">
        <v>28</v>
      </c>
      <c r="H119" s="4" t="s">
        <v>110</v>
      </c>
      <c r="I119" s="4" t="s">
        <v>111</v>
      </c>
      <c r="J119" s="4" t="s">
        <v>101</v>
      </c>
      <c r="K119" s="4" t="s">
        <v>112</v>
      </c>
      <c r="L119" s="15">
        <v>6</v>
      </c>
      <c r="M119" s="4">
        <v>22000</v>
      </c>
      <c r="N119" s="4">
        <v>0.2</v>
      </c>
      <c r="O119" s="4">
        <v>132000</v>
      </c>
      <c r="P119" s="4">
        <v>26400</v>
      </c>
      <c r="Q119" s="4">
        <v>105600</v>
      </c>
      <c r="R119" s="4">
        <v>72747.72</v>
      </c>
      <c r="S119" s="4">
        <v>32852.28</v>
      </c>
      <c r="T119" s="16">
        <f>IFERROR(Raw_Data!$S119/Raw_Data!$Q119,0)</f>
        <v>0.31110113636363634</v>
      </c>
      <c r="U119" s="4" t="s">
        <v>113</v>
      </c>
      <c r="V119" s="4" t="s">
        <v>88</v>
      </c>
      <c r="W119" s="4" t="s">
        <v>35</v>
      </c>
      <c r="X119" s="4" t="s">
        <v>36</v>
      </c>
    </row>
    <row r="120" spans="1:24" x14ac:dyDescent="0.35">
      <c r="A120" s="17" t="s">
        <v>290</v>
      </c>
      <c r="B120" s="18">
        <v>45828</v>
      </c>
      <c r="C120" s="19" t="s">
        <v>57</v>
      </c>
      <c r="D120" s="19" t="s">
        <v>58</v>
      </c>
      <c r="E120" s="19" t="s">
        <v>59</v>
      </c>
      <c r="F120" s="19" t="s">
        <v>60</v>
      </c>
      <c r="G120" s="19" t="s">
        <v>42</v>
      </c>
      <c r="H120" s="19" t="s">
        <v>151</v>
      </c>
      <c r="I120" s="19" t="s">
        <v>152</v>
      </c>
      <c r="J120" s="19" t="s">
        <v>45</v>
      </c>
      <c r="K120" s="19" t="s">
        <v>153</v>
      </c>
      <c r="L120" s="20">
        <v>3</v>
      </c>
      <c r="M120" s="19">
        <v>3200</v>
      </c>
      <c r="N120" s="19">
        <v>0</v>
      </c>
      <c r="O120" s="19">
        <v>9600</v>
      </c>
      <c r="P120" s="19">
        <v>0</v>
      </c>
      <c r="Q120" s="19">
        <v>9600</v>
      </c>
      <c r="R120" s="19">
        <v>6744.15</v>
      </c>
      <c r="S120" s="19">
        <v>2855.85</v>
      </c>
      <c r="T120" s="21">
        <f>IFERROR(Raw_Data!$S120/Raw_Data!$Q120,0)</f>
        <v>0.29748437499999997</v>
      </c>
      <c r="U120" s="19" t="s">
        <v>33</v>
      </c>
      <c r="V120" s="19" t="s">
        <v>70</v>
      </c>
      <c r="W120" s="19" t="s">
        <v>48</v>
      </c>
      <c r="X120" s="19" t="s">
        <v>36</v>
      </c>
    </row>
    <row r="121" spans="1:24" x14ac:dyDescent="0.35">
      <c r="A121" s="13" t="s">
        <v>394</v>
      </c>
      <c r="B121" s="14">
        <v>45828</v>
      </c>
      <c r="C121" s="4" t="s">
        <v>127</v>
      </c>
      <c r="D121" s="4" t="s">
        <v>128</v>
      </c>
      <c r="E121" s="4" t="s">
        <v>129</v>
      </c>
      <c r="F121" s="4" t="s">
        <v>27</v>
      </c>
      <c r="G121" s="4" t="s">
        <v>28</v>
      </c>
      <c r="H121" s="4" t="s">
        <v>151</v>
      </c>
      <c r="I121" s="4" t="s">
        <v>152</v>
      </c>
      <c r="J121" s="4" t="s">
        <v>45</v>
      </c>
      <c r="K121" s="4" t="s">
        <v>153</v>
      </c>
      <c r="L121" s="15">
        <v>5</v>
      </c>
      <c r="M121" s="4">
        <v>3200</v>
      </c>
      <c r="N121" s="4">
        <v>0</v>
      </c>
      <c r="O121" s="4">
        <v>16000</v>
      </c>
      <c r="P121" s="4">
        <v>0</v>
      </c>
      <c r="Q121" s="4">
        <v>16000</v>
      </c>
      <c r="R121" s="4">
        <v>10093.34</v>
      </c>
      <c r="S121" s="4">
        <v>5906.66</v>
      </c>
      <c r="T121" s="16">
        <f>IFERROR(Raw_Data!$S121/Raw_Data!$Q121,0)</f>
        <v>0.36916624999999997</v>
      </c>
      <c r="U121" s="4" t="s">
        <v>33</v>
      </c>
      <c r="V121" s="4" t="s">
        <v>47</v>
      </c>
      <c r="W121" s="4" t="s">
        <v>55</v>
      </c>
      <c r="X121" s="4" t="s">
        <v>36</v>
      </c>
    </row>
    <row r="122" spans="1:24" x14ac:dyDescent="0.35">
      <c r="A122" s="17" t="s">
        <v>422</v>
      </c>
      <c r="B122" s="18">
        <v>45829</v>
      </c>
      <c r="C122" s="19" t="s">
        <v>57</v>
      </c>
      <c r="D122" s="19" t="s">
        <v>58</v>
      </c>
      <c r="E122" s="19" t="s">
        <v>59</v>
      </c>
      <c r="F122" s="19" t="s">
        <v>60</v>
      </c>
      <c r="G122" s="19" t="s">
        <v>42</v>
      </c>
      <c r="H122" s="19" t="s">
        <v>99</v>
      </c>
      <c r="I122" s="19" t="s">
        <v>100</v>
      </c>
      <c r="J122" s="19" t="s">
        <v>101</v>
      </c>
      <c r="K122" s="19" t="s">
        <v>102</v>
      </c>
      <c r="L122" s="20">
        <v>7</v>
      </c>
      <c r="M122" s="19">
        <v>12500</v>
      </c>
      <c r="N122" s="19">
        <v>0.2</v>
      </c>
      <c r="O122" s="19">
        <v>87500</v>
      </c>
      <c r="P122" s="19">
        <v>17500</v>
      </c>
      <c r="Q122" s="19">
        <v>70000</v>
      </c>
      <c r="R122" s="19">
        <v>56966.99</v>
      </c>
      <c r="S122" s="19">
        <v>13033.01</v>
      </c>
      <c r="T122" s="21">
        <f>IFERROR(Raw_Data!$S122/Raw_Data!$Q122,0)</f>
        <v>0.18618585714285715</v>
      </c>
      <c r="U122" s="19" t="s">
        <v>113</v>
      </c>
      <c r="V122" s="19" t="s">
        <v>64</v>
      </c>
      <c r="W122" s="19" t="s">
        <v>48</v>
      </c>
      <c r="X122" s="19" t="s">
        <v>36</v>
      </c>
    </row>
    <row r="123" spans="1:24" x14ac:dyDescent="0.35">
      <c r="A123" s="13" t="s">
        <v>339</v>
      </c>
      <c r="B123" s="14">
        <v>45830</v>
      </c>
      <c r="C123" s="4" t="s">
        <v>67</v>
      </c>
      <c r="D123" s="4" t="s">
        <v>68</v>
      </c>
      <c r="E123" s="4" t="s">
        <v>69</v>
      </c>
      <c r="F123" s="4" t="s">
        <v>41</v>
      </c>
      <c r="G123" s="4" t="s">
        <v>28</v>
      </c>
      <c r="H123" s="4" t="s">
        <v>162</v>
      </c>
      <c r="I123" s="4" t="s">
        <v>163</v>
      </c>
      <c r="J123" s="4" t="s">
        <v>31</v>
      </c>
      <c r="K123" s="4" t="s">
        <v>164</v>
      </c>
      <c r="L123" s="15">
        <v>1</v>
      </c>
      <c r="M123" s="4">
        <v>16500</v>
      </c>
      <c r="N123" s="4">
        <v>0</v>
      </c>
      <c r="O123" s="4">
        <v>16500</v>
      </c>
      <c r="P123" s="4">
        <v>0</v>
      </c>
      <c r="Q123" s="4">
        <v>0</v>
      </c>
      <c r="R123" s="4">
        <v>9891.64</v>
      </c>
      <c r="S123" s="4">
        <v>0</v>
      </c>
      <c r="T123" s="16">
        <f>IFERROR(Raw_Data!$S123/Raw_Data!$Q123,0)</f>
        <v>0</v>
      </c>
      <c r="U123" s="4" t="s">
        <v>33</v>
      </c>
      <c r="V123" s="4" t="s">
        <v>64</v>
      </c>
      <c r="W123" s="4" t="s">
        <v>48</v>
      </c>
      <c r="X123" s="4" t="s">
        <v>75</v>
      </c>
    </row>
    <row r="124" spans="1:24" x14ac:dyDescent="0.35">
      <c r="A124" s="17" t="s">
        <v>145</v>
      </c>
      <c r="B124" s="18">
        <v>45831</v>
      </c>
      <c r="C124" s="19" t="s">
        <v>146</v>
      </c>
      <c r="D124" s="19" t="s">
        <v>147</v>
      </c>
      <c r="E124" s="19" t="s">
        <v>148</v>
      </c>
      <c r="F124" s="19" t="s">
        <v>87</v>
      </c>
      <c r="G124" s="19" t="s">
        <v>28</v>
      </c>
      <c r="H124" s="19" t="s">
        <v>43</v>
      </c>
      <c r="I124" s="19" t="s">
        <v>44</v>
      </c>
      <c r="J124" s="19" t="s">
        <v>45</v>
      </c>
      <c r="K124" s="19" t="s">
        <v>46</v>
      </c>
      <c r="L124" s="20">
        <v>2</v>
      </c>
      <c r="M124" s="19">
        <v>8900</v>
      </c>
      <c r="N124" s="19">
        <v>0</v>
      </c>
      <c r="O124" s="19">
        <v>17800</v>
      </c>
      <c r="P124" s="19">
        <v>0</v>
      </c>
      <c r="Q124" s="19">
        <v>-17800</v>
      </c>
      <c r="R124" s="19">
        <v>11142.47</v>
      </c>
      <c r="S124" s="19">
        <v>-6657.53</v>
      </c>
      <c r="T124" s="21">
        <f>IFERROR(Raw_Data!$S124/Raw_Data!$Q124,0)</f>
        <v>0.37401853932584267</v>
      </c>
      <c r="U124" s="19" t="s">
        <v>113</v>
      </c>
      <c r="V124" s="19" t="s">
        <v>88</v>
      </c>
      <c r="W124" s="19" t="s">
        <v>55</v>
      </c>
      <c r="X124" s="19" t="s">
        <v>49</v>
      </c>
    </row>
    <row r="125" spans="1:24" x14ac:dyDescent="0.35">
      <c r="A125" s="13" t="s">
        <v>244</v>
      </c>
      <c r="B125" s="14">
        <v>45831</v>
      </c>
      <c r="C125" s="4" t="s">
        <v>127</v>
      </c>
      <c r="D125" s="4" t="s">
        <v>128</v>
      </c>
      <c r="E125" s="4" t="s">
        <v>129</v>
      </c>
      <c r="F125" s="4" t="s">
        <v>27</v>
      </c>
      <c r="G125" s="4" t="s">
        <v>28</v>
      </c>
      <c r="H125" s="4" t="s">
        <v>61</v>
      </c>
      <c r="I125" s="4" t="s">
        <v>62</v>
      </c>
      <c r="J125" s="4" t="s">
        <v>45</v>
      </c>
      <c r="K125" s="4" t="s">
        <v>63</v>
      </c>
      <c r="L125" s="15">
        <v>7</v>
      </c>
      <c r="M125" s="4">
        <v>1800</v>
      </c>
      <c r="N125" s="4">
        <v>0.2</v>
      </c>
      <c r="O125" s="4">
        <v>12600</v>
      </c>
      <c r="P125" s="4">
        <v>2520</v>
      </c>
      <c r="Q125" s="4">
        <v>10080</v>
      </c>
      <c r="R125" s="4">
        <v>6040.7</v>
      </c>
      <c r="S125" s="4">
        <v>4039.3</v>
      </c>
      <c r="T125" s="16">
        <f>IFERROR(Raw_Data!$S125/Raw_Data!$Q125,0)</f>
        <v>0.40072420634920636</v>
      </c>
      <c r="U125" s="4" t="s">
        <v>33</v>
      </c>
      <c r="V125" s="4" t="s">
        <v>70</v>
      </c>
      <c r="W125" s="4" t="s">
        <v>55</v>
      </c>
      <c r="X125" s="4" t="s">
        <v>36</v>
      </c>
    </row>
    <row r="126" spans="1:24" x14ac:dyDescent="0.35">
      <c r="A126" s="17" t="s">
        <v>432</v>
      </c>
      <c r="B126" s="18">
        <v>45833</v>
      </c>
      <c r="C126" s="19" t="s">
        <v>176</v>
      </c>
      <c r="D126" s="19" t="s">
        <v>177</v>
      </c>
      <c r="E126" s="19" t="s">
        <v>178</v>
      </c>
      <c r="F126" s="19" t="s">
        <v>108</v>
      </c>
      <c r="G126" s="19" t="s">
        <v>28</v>
      </c>
      <c r="H126" s="19" t="s">
        <v>61</v>
      </c>
      <c r="I126" s="19" t="s">
        <v>62</v>
      </c>
      <c r="J126" s="19" t="s">
        <v>45</v>
      </c>
      <c r="K126" s="19" t="s">
        <v>63</v>
      </c>
      <c r="L126" s="20">
        <v>8</v>
      </c>
      <c r="M126" s="19">
        <v>1800</v>
      </c>
      <c r="N126" s="19">
        <v>0</v>
      </c>
      <c r="O126" s="19">
        <v>14400</v>
      </c>
      <c r="P126" s="19">
        <v>0</v>
      </c>
      <c r="Q126" s="19">
        <v>14400</v>
      </c>
      <c r="R126" s="19">
        <v>10152.969999999999</v>
      </c>
      <c r="S126" s="19">
        <v>4247.03</v>
      </c>
      <c r="T126" s="21">
        <f>IFERROR(Raw_Data!$S126/Raw_Data!$Q126,0)</f>
        <v>0.29493263888888888</v>
      </c>
      <c r="U126" s="19" t="s">
        <v>113</v>
      </c>
      <c r="V126" s="19" t="s">
        <v>47</v>
      </c>
      <c r="W126" s="19" t="s">
        <v>55</v>
      </c>
      <c r="X126" s="19" t="s">
        <v>36</v>
      </c>
    </row>
    <row r="127" spans="1:24" x14ac:dyDescent="0.35">
      <c r="A127" s="13" t="s">
        <v>250</v>
      </c>
      <c r="B127" s="14">
        <v>45834</v>
      </c>
      <c r="C127" s="4" t="s">
        <v>135</v>
      </c>
      <c r="D127" s="4" t="s">
        <v>136</v>
      </c>
      <c r="E127" s="4" t="s">
        <v>137</v>
      </c>
      <c r="F127" s="4" t="s">
        <v>27</v>
      </c>
      <c r="G127" s="4" t="s">
        <v>97</v>
      </c>
      <c r="H127" s="4" t="s">
        <v>99</v>
      </c>
      <c r="I127" s="4" t="s">
        <v>100</v>
      </c>
      <c r="J127" s="4" t="s">
        <v>101</v>
      </c>
      <c r="K127" s="4" t="s">
        <v>102</v>
      </c>
      <c r="L127" s="15">
        <v>5</v>
      </c>
      <c r="M127" s="4">
        <v>12500</v>
      </c>
      <c r="N127" s="4">
        <v>0.2</v>
      </c>
      <c r="O127" s="4">
        <v>62500</v>
      </c>
      <c r="P127" s="4">
        <v>12500</v>
      </c>
      <c r="Q127" s="4">
        <v>0</v>
      </c>
      <c r="R127" s="4">
        <v>40544.35</v>
      </c>
      <c r="S127" s="4">
        <v>0</v>
      </c>
      <c r="T127" s="16">
        <f>IFERROR(Raw_Data!$S127/Raw_Data!$Q127,0)</f>
        <v>0</v>
      </c>
      <c r="U127" s="4" t="s">
        <v>113</v>
      </c>
      <c r="V127" s="4" t="s">
        <v>139</v>
      </c>
      <c r="W127" s="4" t="s">
        <v>65</v>
      </c>
      <c r="X127" s="4" t="s">
        <v>75</v>
      </c>
    </row>
    <row r="128" spans="1:24" x14ac:dyDescent="0.35">
      <c r="A128" s="17" t="s">
        <v>412</v>
      </c>
      <c r="B128" s="18">
        <v>45835</v>
      </c>
      <c r="C128" s="19" t="s">
        <v>135</v>
      </c>
      <c r="D128" s="19" t="s">
        <v>136</v>
      </c>
      <c r="E128" s="19" t="s">
        <v>137</v>
      </c>
      <c r="F128" s="19" t="s">
        <v>27</v>
      </c>
      <c r="G128" s="19" t="s">
        <v>97</v>
      </c>
      <c r="H128" s="19" t="s">
        <v>110</v>
      </c>
      <c r="I128" s="19" t="s">
        <v>111</v>
      </c>
      <c r="J128" s="19" t="s">
        <v>101</v>
      </c>
      <c r="K128" s="19" t="s">
        <v>112</v>
      </c>
      <c r="L128" s="20">
        <v>1</v>
      </c>
      <c r="M128" s="19">
        <v>22000</v>
      </c>
      <c r="N128" s="19">
        <v>0</v>
      </c>
      <c r="O128" s="19">
        <v>22000</v>
      </c>
      <c r="P128" s="19">
        <v>0</v>
      </c>
      <c r="Q128" s="19">
        <v>22000</v>
      </c>
      <c r="R128" s="19">
        <v>15067.83</v>
      </c>
      <c r="S128" s="19">
        <v>6932.17</v>
      </c>
      <c r="T128" s="21">
        <f>IFERROR(Raw_Data!$S128/Raw_Data!$Q128,0)</f>
        <v>0.31509863636363639</v>
      </c>
      <c r="U128" s="19" t="s">
        <v>113</v>
      </c>
      <c r="V128" s="19" t="s">
        <v>70</v>
      </c>
      <c r="W128" s="19" t="s">
        <v>55</v>
      </c>
      <c r="X128" s="19" t="s">
        <v>36</v>
      </c>
    </row>
    <row r="129" spans="1:24" x14ac:dyDescent="0.35">
      <c r="A129" s="13" t="s">
        <v>200</v>
      </c>
      <c r="B129" s="14">
        <v>45838</v>
      </c>
      <c r="C129" s="4" t="s">
        <v>127</v>
      </c>
      <c r="D129" s="4" t="s">
        <v>128</v>
      </c>
      <c r="E129" s="4" t="s">
        <v>129</v>
      </c>
      <c r="F129" s="4" t="s">
        <v>27</v>
      </c>
      <c r="G129" s="4" t="s">
        <v>28</v>
      </c>
      <c r="H129" s="4" t="s">
        <v>29</v>
      </c>
      <c r="I129" s="4" t="s">
        <v>30</v>
      </c>
      <c r="J129" s="4" t="s">
        <v>31</v>
      </c>
      <c r="K129" s="4" t="s">
        <v>32</v>
      </c>
      <c r="L129" s="15">
        <v>5</v>
      </c>
      <c r="M129" s="4">
        <v>78000</v>
      </c>
      <c r="N129" s="4">
        <v>0.1</v>
      </c>
      <c r="O129" s="4">
        <v>390000</v>
      </c>
      <c r="P129" s="4">
        <v>39000</v>
      </c>
      <c r="Q129" s="4">
        <v>351000</v>
      </c>
      <c r="R129" s="4">
        <v>275474.46000000002</v>
      </c>
      <c r="S129" s="4">
        <v>75525.539999999994</v>
      </c>
      <c r="T129" s="16">
        <f>IFERROR(Raw_Data!$S129/Raw_Data!$Q129,0)</f>
        <v>0.21517247863247863</v>
      </c>
      <c r="U129" s="4" t="s">
        <v>33</v>
      </c>
      <c r="V129" s="4" t="s">
        <v>34</v>
      </c>
      <c r="W129" s="4" t="s">
        <v>48</v>
      </c>
      <c r="X129" s="4" t="s">
        <v>36</v>
      </c>
    </row>
    <row r="130" spans="1:24" x14ac:dyDescent="0.35">
      <c r="A130" s="17" t="s">
        <v>318</v>
      </c>
      <c r="B130" s="18">
        <v>45838</v>
      </c>
      <c r="C130" s="19" t="s">
        <v>122</v>
      </c>
      <c r="D130" s="19" t="s">
        <v>123</v>
      </c>
      <c r="E130" s="19" t="s">
        <v>124</v>
      </c>
      <c r="F130" s="19" t="s">
        <v>87</v>
      </c>
      <c r="G130" s="19" t="s">
        <v>42</v>
      </c>
      <c r="H130" s="19" t="s">
        <v>29</v>
      </c>
      <c r="I130" s="19" t="s">
        <v>30</v>
      </c>
      <c r="J130" s="19" t="s">
        <v>31</v>
      </c>
      <c r="K130" s="19" t="s">
        <v>32</v>
      </c>
      <c r="L130" s="20">
        <v>6</v>
      </c>
      <c r="M130" s="19">
        <v>78000</v>
      </c>
      <c r="N130" s="19">
        <v>0.2</v>
      </c>
      <c r="O130" s="19">
        <v>468000</v>
      </c>
      <c r="P130" s="19">
        <v>93600</v>
      </c>
      <c r="Q130" s="19">
        <v>0</v>
      </c>
      <c r="R130" s="19">
        <v>232884.81</v>
      </c>
      <c r="S130" s="19">
        <v>0</v>
      </c>
      <c r="T130" s="21">
        <f>IFERROR(Raw_Data!$S130/Raw_Data!$Q130,0)</f>
        <v>0</v>
      </c>
      <c r="U130" s="19" t="s">
        <v>113</v>
      </c>
      <c r="V130" s="19" t="s">
        <v>34</v>
      </c>
      <c r="W130" s="19" t="s">
        <v>55</v>
      </c>
      <c r="X130" s="19" t="s">
        <v>75</v>
      </c>
    </row>
    <row r="131" spans="1:24" x14ac:dyDescent="0.35">
      <c r="A131" s="13" t="s">
        <v>400</v>
      </c>
      <c r="B131" s="14">
        <v>45838</v>
      </c>
      <c r="C131" s="4" t="s">
        <v>90</v>
      </c>
      <c r="D131" s="4" t="s">
        <v>91</v>
      </c>
      <c r="E131" s="4" t="s">
        <v>92</v>
      </c>
      <c r="F131" s="4" t="s">
        <v>60</v>
      </c>
      <c r="G131" s="4" t="s">
        <v>42</v>
      </c>
      <c r="H131" s="4" t="s">
        <v>118</v>
      </c>
      <c r="I131" s="4" t="s">
        <v>119</v>
      </c>
      <c r="J131" s="4" t="s">
        <v>31</v>
      </c>
      <c r="K131" s="4" t="s">
        <v>120</v>
      </c>
      <c r="L131" s="15">
        <v>3</v>
      </c>
      <c r="M131" s="4">
        <v>14500</v>
      </c>
      <c r="N131" s="4">
        <v>0</v>
      </c>
      <c r="O131" s="4">
        <v>43500</v>
      </c>
      <c r="P131" s="4">
        <v>0</v>
      </c>
      <c r="Q131" s="4">
        <v>43500</v>
      </c>
      <c r="R131" s="4">
        <v>32750.07</v>
      </c>
      <c r="S131" s="4">
        <v>10749.93</v>
      </c>
      <c r="T131" s="16">
        <f>IFERROR(Raw_Data!$S131/Raw_Data!$Q131,0)</f>
        <v>0.24712482758620691</v>
      </c>
      <c r="U131" s="4" t="s">
        <v>54</v>
      </c>
      <c r="V131" s="4" t="s">
        <v>70</v>
      </c>
      <c r="W131" s="4" t="s">
        <v>35</v>
      </c>
      <c r="X131" s="4" t="s">
        <v>36</v>
      </c>
    </row>
    <row r="132" spans="1:24" x14ac:dyDescent="0.35">
      <c r="A132" s="17" t="s">
        <v>276</v>
      </c>
      <c r="B132" s="18">
        <v>45839</v>
      </c>
      <c r="C132" s="19" t="s">
        <v>24</v>
      </c>
      <c r="D132" s="19" t="s">
        <v>25</v>
      </c>
      <c r="E132" s="19" t="s">
        <v>26</v>
      </c>
      <c r="F132" s="19" t="s">
        <v>27</v>
      </c>
      <c r="G132" s="19" t="s">
        <v>28</v>
      </c>
      <c r="H132" s="19" t="s">
        <v>43</v>
      </c>
      <c r="I132" s="19" t="s">
        <v>44</v>
      </c>
      <c r="J132" s="19" t="s">
        <v>45</v>
      </c>
      <c r="K132" s="19" t="s">
        <v>46</v>
      </c>
      <c r="L132" s="20">
        <v>7</v>
      </c>
      <c r="M132" s="19">
        <v>8900</v>
      </c>
      <c r="N132" s="19">
        <v>0.2</v>
      </c>
      <c r="O132" s="19">
        <v>62300</v>
      </c>
      <c r="P132" s="19">
        <v>12460</v>
      </c>
      <c r="Q132" s="19">
        <v>49840</v>
      </c>
      <c r="R132" s="19">
        <v>29522.58</v>
      </c>
      <c r="S132" s="19">
        <v>20317.419999999998</v>
      </c>
      <c r="T132" s="21">
        <f>IFERROR(Raw_Data!$S132/Raw_Data!$Q132,0)</f>
        <v>0.40765288924558585</v>
      </c>
      <c r="U132" s="19" t="s">
        <v>33</v>
      </c>
      <c r="V132" s="19" t="s">
        <v>64</v>
      </c>
      <c r="W132" s="19" t="s">
        <v>65</v>
      </c>
      <c r="X132" s="19" t="s">
        <v>36</v>
      </c>
    </row>
    <row r="133" spans="1:24" x14ac:dyDescent="0.35">
      <c r="A133" s="13" t="s">
        <v>317</v>
      </c>
      <c r="B133" s="14">
        <v>45840</v>
      </c>
      <c r="C133" s="4" t="s">
        <v>170</v>
      </c>
      <c r="D133" s="4" t="s">
        <v>171</v>
      </c>
      <c r="E133" s="4" t="s">
        <v>172</v>
      </c>
      <c r="F133" s="4" t="s">
        <v>27</v>
      </c>
      <c r="G133" s="4" t="s">
        <v>97</v>
      </c>
      <c r="H133" s="4" t="s">
        <v>29</v>
      </c>
      <c r="I133" s="4" t="s">
        <v>30</v>
      </c>
      <c r="J133" s="4" t="s">
        <v>31</v>
      </c>
      <c r="K133" s="4" t="s">
        <v>32</v>
      </c>
      <c r="L133" s="15">
        <v>2</v>
      </c>
      <c r="M133" s="4">
        <v>78000</v>
      </c>
      <c r="N133" s="4">
        <v>0.05</v>
      </c>
      <c r="O133" s="4">
        <v>156000</v>
      </c>
      <c r="P133" s="4">
        <v>7800</v>
      </c>
      <c r="Q133" s="4">
        <v>0</v>
      </c>
      <c r="R133" s="4">
        <v>94532.37</v>
      </c>
      <c r="S133" s="4">
        <v>0</v>
      </c>
      <c r="T133" s="16">
        <f>IFERROR(Raw_Data!$S133/Raw_Data!$Q133,0)</f>
        <v>0</v>
      </c>
      <c r="U133" s="4" t="s">
        <v>33</v>
      </c>
      <c r="V133" s="4" t="s">
        <v>47</v>
      </c>
      <c r="W133" s="4" t="s">
        <v>65</v>
      </c>
      <c r="X133" s="4" t="s">
        <v>75</v>
      </c>
    </row>
    <row r="134" spans="1:24" x14ac:dyDescent="0.35">
      <c r="A134" s="17" t="s">
        <v>247</v>
      </c>
      <c r="B134" s="18">
        <v>45841</v>
      </c>
      <c r="C134" s="19" t="s">
        <v>146</v>
      </c>
      <c r="D134" s="19" t="s">
        <v>147</v>
      </c>
      <c r="E134" s="19" t="s">
        <v>148</v>
      </c>
      <c r="F134" s="19" t="s">
        <v>87</v>
      </c>
      <c r="G134" s="19" t="s">
        <v>28</v>
      </c>
      <c r="H134" s="19" t="s">
        <v>61</v>
      </c>
      <c r="I134" s="19" t="s">
        <v>62</v>
      </c>
      <c r="J134" s="19" t="s">
        <v>45</v>
      </c>
      <c r="K134" s="19" t="s">
        <v>63</v>
      </c>
      <c r="L134" s="20">
        <v>6</v>
      </c>
      <c r="M134" s="19">
        <v>1800</v>
      </c>
      <c r="N134" s="19">
        <v>0.1</v>
      </c>
      <c r="O134" s="19">
        <v>10800</v>
      </c>
      <c r="P134" s="19">
        <v>1080</v>
      </c>
      <c r="Q134" s="19">
        <v>-9720</v>
      </c>
      <c r="R134" s="19">
        <v>5977.19</v>
      </c>
      <c r="S134" s="19">
        <v>-3742.81</v>
      </c>
      <c r="T134" s="21">
        <f>IFERROR(Raw_Data!$S134/Raw_Data!$Q134,0)</f>
        <v>0.38506275720164607</v>
      </c>
      <c r="U134" s="19" t="s">
        <v>113</v>
      </c>
      <c r="V134" s="19" t="s">
        <v>70</v>
      </c>
      <c r="W134" s="19" t="s">
        <v>48</v>
      </c>
      <c r="X134" s="19" t="s">
        <v>49</v>
      </c>
    </row>
    <row r="135" spans="1:24" x14ac:dyDescent="0.35">
      <c r="A135" s="13" t="s">
        <v>103</v>
      </c>
      <c r="B135" s="14">
        <v>45843</v>
      </c>
      <c r="C135" s="4" t="s">
        <v>38</v>
      </c>
      <c r="D135" s="4" t="s">
        <v>39</v>
      </c>
      <c r="E135" s="4" t="s">
        <v>40</v>
      </c>
      <c r="F135" s="4" t="s">
        <v>41</v>
      </c>
      <c r="G135" s="4" t="s">
        <v>42</v>
      </c>
      <c r="H135" s="4" t="s">
        <v>43</v>
      </c>
      <c r="I135" s="4" t="s">
        <v>44</v>
      </c>
      <c r="J135" s="4" t="s">
        <v>45</v>
      </c>
      <c r="K135" s="4" t="s">
        <v>46</v>
      </c>
      <c r="L135" s="15">
        <v>4</v>
      </c>
      <c r="M135" s="4">
        <v>8900</v>
      </c>
      <c r="N135" s="4">
        <v>0</v>
      </c>
      <c r="O135" s="4">
        <v>35600</v>
      </c>
      <c r="P135" s="4">
        <v>0</v>
      </c>
      <c r="Q135" s="4">
        <v>35600</v>
      </c>
      <c r="R135" s="4">
        <v>25001.39</v>
      </c>
      <c r="S135" s="4">
        <v>10598.61</v>
      </c>
      <c r="T135" s="16">
        <f>IFERROR(Raw_Data!$S135/Raw_Data!$Q135,0)</f>
        <v>0.29771376404494382</v>
      </c>
      <c r="U135" s="4" t="s">
        <v>54</v>
      </c>
      <c r="V135" s="4" t="s">
        <v>47</v>
      </c>
      <c r="W135" s="4" t="s">
        <v>48</v>
      </c>
      <c r="X135" s="4" t="s">
        <v>36</v>
      </c>
    </row>
    <row r="136" spans="1:24" x14ac:dyDescent="0.35">
      <c r="A136" s="17" t="s">
        <v>302</v>
      </c>
      <c r="B136" s="18">
        <v>45843</v>
      </c>
      <c r="C136" s="19" t="s">
        <v>142</v>
      </c>
      <c r="D136" s="19" t="s">
        <v>143</v>
      </c>
      <c r="E136" s="19" t="s">
        <v>144</v>
      </c>
      <c r="F136" s="19" t="s">
        <v>87</v>
      </c>
      <c r="G136" s="19" t="s">
        <v>28</v>
      </c>
      <c r="H136" s="19" t="s">
        <v>110</v>
      </c>
      <c r="I136" s="19" t="s">
        <v>111</v>
      </c>
      <c r="J136" s="19" t="s">
        <v>101</v>
      </c>
      <c r="K136" s="19" t="s">
        <v>112</v>
      </c>
      <c r="L136" s="20">
        <v>1</v>
      </c>
      <c r="M136" s="19">
        <v>22000</v>
      </c>
      <c r="N136" s="19">
        <v>0.05</v>
      </c>
      <c r="O136" s="19">
        <v>22000</v>
      </c>
      <c r="P136" s="19">
        <v>1100</v>
      </c>
      <c r="Q136" s="19">
        <v>20900</v>
      </c>
      <c r="R136" s="19">
        <v>13671.27</v>
      </c>
      <c r="S136" s="19">
        <v>7228.73</v>
      </c>
      <c r="T136" s="21">
        <f>IFERROR(Raw_Data!$S136/Raw_Data!$Q136,0)</f>
        <v>0.34587224880382772</v>
      </c>
      <c r="U136" s="19" t="s">
        <v>113</v>
      </c>
      <c r="V136" s="19" t="s">
        <v>139</v>
      </c>
      <c r="W136" s="19" t="s">
        <v>48</v>
      </c>
      <c r="X136" s="19" t="s">
        <v>36</v>
      </c>
    </row>
    <row r="137" spans="1:24" x14ac:dyDescent="0.35">
      <c r="A137" s="13" t="s">
        <v>305</v>
      </c>
      <c r="B137" s="14">
        <v>45844</v>
      </c>
      <c r="C137" s="4" t="s">
        <v>146</v>
      </c>
      <c r="D137" s="4" t="s">
        <v>147</v>
      </c>
      <c r="E137" s="4" t="s">
        <v>148</v>
      </c>
      <c r="F137" s="4" t="s">
        <v>87</v>
      </c>
      <c r="G137" s="4" t="s">
        <v>28</v>
      </c>
      <c r="H137" s="4" t="s">
        <v>43</v>
      </c>
      <c r="I137" s="4" t="s">
        <v>44</v>
      </c>
      <c r="J137" s="4" t="s">
        <v>45</v>
      </c>
      <c r="K137" s="4" t="s">
        <v>46</v>
      </c>
      <c r="L137" s="15">
        <v>4</v>
      </c>
      <c r="M137" s="4">
        <v>8900</v>
      </c>
      <c r="N137" s="4">
        <v>0.1</v>
      </c>
      <c r="O137" s="4">
        <v>35600</v>
      </c>
      <c r="P137" s="4">
        <v>3560</v>
      </c>
      <c r="Q137" s="4">
        <v>0</v>
      </c>
      <c r="R137" s="4">
        <v>23278.43</v>
      </c>
      <c r="S137" s="4">
        <v>0</v>
      </c>
      <c r="T137" s="16">
        <f>IFERROR(Raw_Data!$S137/Raw_Data!$Q137,0)</f>
        <v>0</v>
      </c>
      <c r="U137" s="4" t="s">
        <v>113</v>
      </c>
      <c r="V137" s="4" t="s">
        <v>88</v>
      </c>
      <c r="W137" s="4" t="s">
        <v>48</v>
      </c>
      <c r="X137" s="4" t="s">
        <v>75</v>
      </c>
    </row>
    <row r="138" spans="1:24" x14ac:dyDescent="0.35">
      <c r="A138" s="17" t="s">
        <v>348</v>
      </c>
      <c r="B138" s="18">
        <v>45845</v>
      </c>
      <c r="C138" s="19" t="s">
        <v>176</v>
      </c>
      <c r="D138" s="19" t="s">
        <v>177</v>
      </c>
      <c r="E138" s="19" t="s">
        <v>178</v>
      </c>
      <c r="F138" s="19" t="s">
        <v>108</v>
      </c>
      <c r="G138" s="19" t="s">
        <v>28</v>
      </c>
      <c r="H138" s="19" t="s">
        <v>43</v>
      </c>
      <c r="I138" s="19" t="s">
        <v>44</v>
      </c>
      <c r="J138" s="19" t="s">
        <v>45</v>
      </c>
      <c r="K138" s="19" t="s">
        <v>46</v>
      </c>
      <c r="L138" s="20">
        <v>1</v>
      </c>
      <c r="M138" s="19">
        <v>8900</v>
      </c>
      <c r="N138" s="19">
        <v>0.1</v>
      </c>
      <c r="O138" s="19">
        <v>8900</v>
      </c>
      <c r="P138" s="19">
        <v>890</v>
      </c>
      <c r="Q138" s="19">
        <v>-8010</v>
      </c>
      <c r="R138" s="19">
        <v>4744.1499999999996</v>
      </c>
      <c r="S138" s="19">
        <v>-3265.85</v>
      </c>
      <c r="T138" s="21">
        <f>IFERROR(Raw_Data!$S138/Raw_Data!$Q138,0)</f>
        <v>0.40772159800249685</v>
      </c>
      <c r="U138" s="19" t="s">
        <v>54</v>
      </c>
      <c r="V138" s="19" t="s">
        <v>64</v>
      </c>
      <c r="W138" s="19" t="s">
        <v>65</v>
      </c>
      <c r="X138" s="19" t="s">
        <v>49</v>
      </c>
    </row>
    <row r="139" spans="1:24" x14ac:dyDescent="0.35">
      <c r="A139" s="13" t="s">
        <v>437</v>
      </c>
      <c r="B139" s="14">
        <v>45845</v>
      </c>
      <c r="C139" s="4" t="s">
        <v>51</v>
      </c>
      <c r="D139" s="4" t="s">
        <v>52</v>
      </c>
      <c r="E139" s="4" t="s">
        <v>53</v>
      </c>
      <c r="F139" s="4" t="s">
        <v>27</v>
      </c>
      <c r="G139" s="4" t="s">
        <v>28</v>
      </c>
      <c r="H139" s="4" t="s">
        <v>118</v>
      </c>
      <c r="I139" s="4" t="s">
        <v>119</v>
      </c>
      <c r="J139" s="4" t="s">
        <v>31</v>
      </c>
      <c r="K139" s="4" t="s">
        <v>120</v>
      </c>
      <c r="L139" s="15">
        <v>6</v>
      </c>
      <c r="M139" s="4">
        <v>14500</v>
      </c>
      <c r="N139" s="4">
        <v>0</v>
      </c>
      <c r="O139" s="4">
        <v>87000</v>
      </c>
      <c r="P139" s="4">
        <v>0</v>
      </c>
      <c r="Q139" s="4">
        <v>87000</v>
      </c>
      <c r="R139" s="4">
        <v>60013.65</v>
      </c>
      <c r="S139" s="4">
        <v>26986.35</v>
      </c>
      <c r="T139" s="16">
        <f>IFERROR(Raw_Data!$S139/Raw_Data!$Q139,0)</f>
        <v>0.31018793103448272</v>
      </c>
      <c r="U139" s="4" t="s">
        <v>33</v>
      </c>
      <c r="V139" s="4" t="s">
        <v>139</v>
      </c>
      <c r="W139" s="4" t="s">
        <v>65</v>
      </c>
      <c r="X139" s="4" t="s">
        <v>36</v>
      </c>
    </row>
    <row r="140" spans="1:24" x14ac:dyDescent="0.35">
      <c r="A140" s="17" t="s">
        <v>167</v>
      </c>
      <c r="B140" s="18">
        <v>45847</v>
      </c>
      <c r="C140" s="19" t="s">
        <v>135</v>
      </c>
      <c r="D140" s="19" t="s">
        <v>136</v>
      </c>
      <c r="E140" s="19" t="s">
        <v>137</v>
      </c>
      <c r="F140" s="19" t="s">
        <v>27</v>
      </c>
      <c r="G140" s="19" t="s">
        <v>97</v>
      </c>
      <c r="H140" s="19" t="s">
        <v>151</v>
      </c>
      <c r="I140" s="19" t="s">
        <v>152</v>
      </c>
      <c r="J140" s="19" t="s">
        <v>45</v>
      </c>
      <c r="K140" s="19" t="s">
        <v>153</v>
      </c>
      <c r="L140" s="20">
        <v>5</v>
      </c>
      <c r="M140" s="19">
        <v>3200</v>
      </c>
      <c r="N140" s="19">
        <v>0</v>
      </c>
      <c r="O140" s="19">
        <v>16000</v>
      </c>
      <c r="P140" s="19">
        <v>0</v>
      </c>
      <c r="Q140" s="19">
        <v>-16000</v>
      </c>
      <c r="R140" s="19">
        <v>10962.63</v>
      </c>
      <c r="S140" s="19">
        <v>-5037.37</v>
      </c>
      <c r="T140" s="21">
        <f>IFERROR(Raw_Data!$S140/Raw_Data!$Q140,0)</f>
        <v>0.31483562500000001</v>
      </c>
      <c r="U140" s="19" t="s">
        <v>33</v>
      </c>
      <c r="V140" s="19" t="s">
        <v>64</v>
      </c>
      <c r="W140" s="19" t="s">
        <v>35</v>
      </c>
      <c r="X140" s="19" t="s">
        <v>49</v>
      </c>
    </row>
    <row r="141" spans="1:24" x14ac:dyDescent="0.35">
      <c r="A141" s="13" t="s">
        <v>343</v>
      </c>
      <c r="B141" s="14">
        <v>45847</v>
      </c>
      <c r="C141" s="4" t="s">
        <v>94</v>
      </c>
      <c r="D141" s="4" t="s">
        <v>95</v>
      </c>
      <c r="E141" s="4" t="s">
        <v>96</v>
      </c>
      <c r="F141" s="4" t="s">
        <v>60</v>
      </c>
      <c r="G141" s="4" t="s">
        <v>97</v>
      </c>
      <c r="H141" s="4" t="s">
        <v>118</v>
      </c>
      <c r="I141" s="4" t="s">
        <v>119</v>
      </c>
      <c r="J141" s="4" t="s">
        <v>31</v>
      </c>
      <c r="K141" s="4" t="s">
        <v>120</v>
      </c>
      <c r="L141" s="15">
        <v>2</v>
      </c>
      <c r="M141" s="4">
        <v>14500</v>
      </c>
      <c r="N141" s="4">
        <v>0.05</v>
      </c>
      <c r="O141" s="4">
        <v>29000</v>
      </c>
      <c r="P141" s="4">
        <v>1450</v>
      </c>
      <c r="Q141" s="4">
        <v>27550</v>
      </c>
      <c r="R141" s="4">
        <v>17577.37</v>
      </c>
      <c r="S141" s="4">
        <v>9972.6299999999992</v>
      </c>
      <c r="T141" s="16">
        <f>IFERROR(Raw_Data!$S141/Raw_Data!$Q141,0)</f>
        <v>0.36198294010889287</v>
      </c>
      <c r="U141" s="4" t="s">
        <v>113</v>
      </c>
      <c r="V141" s="4" t="s">
        <v>139</v>
      </c>
      <c r="W141" s="4" t="s">
        <v>48</v>
      </c>
      <c r="X141" s="4" t="s">
        <v>36</v>
      </c>
    </row>
    <row r="142" spans="1:24" x14ac:dyDescent="0.35">
      <c r="A142" s="17" t="s">
        <v>393</v>
      </c>
      <c r="B142" s="18">
        <v>45851</v>
      </c>
      <c r="C142" s="19" t="s">
        <v>146</v>
      </c>
      <c r="D142" s="19" t="s">
        <v>147</v>
      </c>
      <c r="E142" s="19" t="s">
        <v>148</v>
      </c>
      <c r="F142" s="19" t="s">
        <v>87</v>
      </c>
      <c r="G142" s="19" t="s">
        <v>28</v>
      </c>
      <c r="H142" s="19" t="s">
        <v>61</v>
      </c>
      <c r="I142" s="19" t="s">
        <v>62</v>
      </c>
      <c r="J142" s="19" t="s">
        <v>45</v>
      </c>
      <c r="K142" s="19" t="s">
        <v>63</v>
      </c>
      <c r="L142" s="20">
        <v>1</v>
      </c>
      <c r="M142" s="19">
        <v>1800</v>
      </c>
      <c r="N142" s="19">
        <v>0</v>
      </c>
      <c r="O142" s="19">
        <v>1800</v>
      </c>
      <c r="P142" s="19">
        <v>0</v>
      </c>
      <c r="Q142" s="19">
        <v>-1800</v>
      </c>
      <c r="R142" s="19">
        <v>1125.29</v>
      </c>
      <c r="S142" s="19">
        <v>-674.71</v>
      </c>
      <c r="T142" s="21">
        <f>IFERROR(Raw_Data!$S142/Raw_Data!$Q142,0)</f>
        <v>0.37483888888888889</v>
      </c>
      <c r="U142" s="19" t="s">
        <v>33</v>
      </c>
      <c r="V142" s="19" t="s">
        <v>34</v>
      </c>
      <c r="W142" s="19" t="s">
        <v>48</v>
      </c>
      <c r="X142" s="19" t="s">
        <v>49</v>
      </c>
    </row>
    <row r="143" spans="1:24" x14ac:dyDescent="0.35">
      <c r="A143" s="13" t="s">
        <v>76</v>
      </c>
      <c r="B143" s="14">
        <v>45852</v>
      </c>
      <c r="C143" s="4" t="s">
        <v>77</v>
      </c>
      <c r="D143" s="4" t="s">
        <v>78</v>
      </c>
      <c r="E143" s="4" t="s">
        <v>79</v>
      </c>
      <c r="F143" s="4" t="s">
        <v>60</v>
      </c>
      <c r="G143" s="4" t="s">
        <v>28</v>
      </c>
      <c r="H143" s="4" t="s">
        <v>80</v>
      </c>
      <c r="I143" s="4" t="s">
        <v>81</v>
      </c>
      <c r="J143" s="4" t="s">
        <v>31</v>
      </c>
      <c r="K143" s="4" t="s">
        <v>82</v>
      </c>
      <c r="L143" s="15">
        <v>5</v>
      </c>
      <c r="M143" s="4">
        <v>62000</v>
      </c>
      <c r="N143" s="4">
        <v>0.1</v>
      </c>
      <c r="O143" s="4">
        <v>310000</v>
      </c>
      <c r="P143" s="4">
        <v>31000</v>
      </c>
      <c r="Q143" s="4">
        <v>279000</v>
      </c>
      <c r="R143" s="4">
        <v>204385.43</v>
      </c>
      <c r="S143" s="4">
        <v>74614.570000000007</v>
      </c>
      <c r="T143" s="16">
        <f>IFERROR(Raw_Data!$S143/Raw_Data!$Q143,0)</f>
        <v>0.26743573476702509</v>
      </c>
      <c r="U143" s="4" t="s">
        <v>54</v>
      </c>
      <c r="V143" s="4" t="s">
        <v>64</v>
      </c>
      <c r="W143" s="4" t="s">
        <v>65</v>
      </c>
      <c r="X143" s="4" t="s">
        <v>36</v>
      </c>
    </row>
    <row r="144" spans="1:24" x14ac:dyDescent="0.35">
      <c r="A144" s="17" t="s">
        <v>286</v>
      </c>
      <c r="B144" s="18">
        <v>45852</v>
      </c>
      <c r="C144" s="19" t="s">
        <v>105</v>
      </c>
      <c r="D144" s="19" t="s">
        <v>106</v>
      </c>
      <c r="E144" s="19" t="s">
        <v>107</v>
      </c>
      <c r="F144" s="19" t="s">
        <v>108</v>
      </c>
      <c r="G144" s="19" t="s">
        <v>28</v>
      </c>
      <c r="H144" s="19" t="s">
        <v>118</v>
      </c>
      <c r="I144" s="19" t="s">
        <v>119</v>
      </c>
      <c r="J144" s="19" t="s">
        <v>31</v>
      </c>
      <c r="K144" s="19" t="s">
        <v>120</v>
      </c>
      <c r="L144" s="20">
        <v>4</v>
      </c>
      <c r="M144" s="19">
        <v>14500</v>
      </c>
      <c r="N144" s="19">
        <v>0.15</v>
      </c>
      <c r="O144" s="19">
        <v>58000</v>
      </c>
      <c r="P144" s="19">
        <v>8700</v>
      </c>
      <c r="Q144" s="19">
        <v>0</v>
      </c>
      <c r="R144" s="19">
        <v>35204.82</v>
      </c>
      <c r="S144" s="19">
        <v>0</v>
      </c>
      <c r="T144" s="21">
        <f>IFERROR(Raw_Data!$S144/Raw_Data!$Q144,0)</f>
        <v>0</v>
      </c>
      <c r="U144" s="19" t="s">
        <v>113</v>
      </c>
      <c r="V144" s="19" t="s">
        <v>47</v>
      </c>
      <c r="W144" s="19" t="s">
        <v>55</v>
      </c>
      <c r="X144" s="19" t="s">
        <v>75</v>
      </c>
    </row>
    <row r="145" spans="1:24" x14ac:dyDescent="0.35">
      <c r="A145" s="13" t="s">
        <v>407</v>
      </c>
      <c r="B145" s="14">
        <v>45852</v>
      </c>
      <c r="C145" s="4" t="s">
        <v>135</v>
      </c>
      <c r="D145" s="4" t="s">
        <v>136</v>
      </c>
      <c r="E145" s="4" t="s">
        <v>137</v>
      </c>
      <c r="F145" s="4" t="s">
        <v>27</v>
      </c>
      <c r="G145" s="4" t="s">
        <v>97</v>
      </c>
      <c r="H145" s="4" t="s">
        <v>43</v>
      </c>
      <c r="I145" s="4" t="s">
        <v>44</v>
      </c>
      <c r="J145" s="4" t="s">
        <v>45</v>
      </c>
      <c r="K145" s="4" t="s">
        <v>46</v>
      </c>
      <c r="L145" s="15">
        <v>7</v>
      </c>
      <c r="M145" s="4">
        <v>8900</v>
      </c>
      <c r="N145" s="4">
        <v>0.15</v>
      </c>
      <c r="O145" s="4">
        <v>62300</v>
      </c>
      <c r="P145" s="4">
        <v>9345</v>
      </c>
      <c r="Q145" s="4">
        <v>0</v>
      </c>
      <c r="R145" s="4">
        <v>36763.54</v>
      </c>
      <c r="S145" s="4">
        <v>0</v>
      </c>
      <c r="T145" s="16">
        <f>IFERROR(Raw_Data!$S145/Raw_Data!$Q145,0)</f>
        <v>0</v>
      </c>
      <c r="U145" s="4" t="s">
        <v>54</v>
      </c>
      <c r="V145" s="4" t="s">
        <v>34</v>
      </c>
      <c r="W145" s="4" t="s">
        <v>48</v>
      </c>
      <c r="X145" s="4" t="s">
        <v>75</v>
      </c>
    </row>
    <row r="146" spans="1:24" x14ac:dyDescent="0.35">
      <c r="A146" s="17" t="s">
        <v>198</v>
      </c>
      <c r="B146" s="18">
        <v>45854</v>
      </c>
      <c r="C146" s="19" t="s">
        <v>122</v>
      </c>
      <c r="D146" s="19" t="s">
        <v>123</v>
      </c>
      <c r="E146" s="19" t="s">
        <v>124</v>
      </c>
      <c r="F146" s="19" t="s">
        <v>87</v>
      </c>
      <c r="G146" s="19" t="s">
        <v>42</v>
      </c>
      <c r="H146" s="19" t="s">
        <v>151</v>
      </c>
      <c r="I146" s="19" t="s">
        <v>152</v>
      </c>
      <c r="J146" s="19" t="s">
        <v>45</v>
      </c>
      <c r="K146" s="19" t="s">
        <v>153</v>
      </c>
      <c r="L146" s="20">
        <v>3</v>
      </c>
      <c r="M146" s="19">
        <v>3200</v>
      </c>
      <c r="N146" s="19">
        <v>0.2</v>
      </c>
      <c r="O146" s="19">
        <v>9600</v>
      </c>
      <c r="P146" s="19">
        <v>1920</v>
      </c>
      <c r="Q146" s="19">
        <v>7680</v>
      </c>
      <c r="R146" s="19">
        <v>4848.76</v>
      </c>
      <c r="S146" s="19">
        <v>2831.24</v>
      </c>
      <c r="T146" s="21">
        <f>IFERROR(Raw_Data!$S146/Raw_Data!$Q146,0)</f>
        <v>0.36865104166666662</v>
      </c>
      <c r="U146" s="19" t="s">
        <v>113</v>
      </c>
      <c r="V146" s="19" t="s">
        <v>64</v>
      </c>
      <c r="W146" s="19" t="s">
        <v>55</v>
      </c>
      <c r="X146" s="19" t="s">
        <v>36</v>
      </c>
    </row>
    <row r="147" spans="1:24" x14ac:dyDescent="0.35">
      <c r="A147" s="13" t="s">
        <v>261</v>
      </c>
      <c r="B147" s="14">
        <v>45856</v>
      </c>
      <c r="C147" s="4" t="s">
        <v>51</v>
      </c>
      <c r="D147" s="4" t="s">
        <v>52</v>
      </c>
      <c r="E147" s="4" t="s">
        <v>53</v>
      </c>
      <c r="F147" s="4" t="s">
        <v>27</v>
      </c>
      <c r="G147" s="4" t="s">
        <v>28</v>
      </c>
      <c r="H147" s="4" t="s">
        <v>118</v>
      </c>
      <c r="I147" s="4" t="s">
        <v>119</v>
      </c>
      <c r="J147" s="4" t="s">
        <v>31</v>
      </c>
      <c r="K147" s="4" t="s">
        <v>120</v>
      </c>
      <c r="L147" s="15">
        <v>8</v>
      </c>
      <c r="M147" s="4">
        <v>14500</v>
      </c>
      <c r="N147" s="4">
        <v>0.05</v>
      </c>
      <c r="O147" s="4">
        <v>116000</v>
      </c>
      <c r="P147" s="4">
        <v>5800</v>
      </c>
      <c r="Q147" s="4">
        <v>0</v>
      </c>
      <c r="R147" s="4">
        <v>81649.02</v>
      </c>
      <c r="S147" s="4">
        <v>0</v>
      </c>
      <c r="T147" s="16">
        <f>IFERROR(Raw_Data!$S147/Raw_Data!$Q147,0)</f>
        <v>0</v>
      </c>
      <c r="U147" s="4" t="s">
        <v>33</v>
      </c>
      <c r="V147" s="4" t="s">
        <v>70</v>
      </c>
      <c r="W147" s="4" t="s">
        <v>55</v>
      </c>
      <c r="X147" s="4" t="s">
        <v>75</v>
      </c>
    </row>
    <row r="148" spans="1:24" x14ac:dyDescent="0.35">
      <c r="A148" s="17" t="s">
        <v>346</v>
      </c>
      <c r="B148" s="18">
        <v>45859</v>
      </c>
      <c r="C148" s="19" t="s">
        <v>155</v>
      </c>
      <c r="D148" s="19" t="s">
        <v>156</v>
      </c>
      <c r="E148" s="19" t="s">
        <v>157</v>
      </c>
      <c r="F148" s="19" t="s">
        <v>60</v>
      </c>
      <c r="G148" s="19" t="s">
        <v>97</v>
      </c>
      <c r="H148" s="19" t="s">
        <v>80</v>
      </c>
      <c r="I148" s="19" t="s">
        <v>81</v>
      </c>
      <c r="J148" s="19" t="s">
        <v>31</v>
      </c>
      <c r="K148" s="19" t="s">
        <v>82</v>
      </c>
      <c r="L148" s="20">
        <v>8</v>
      </c>
      <c r="M148" s="19">
        <v>62000</v>
      </c>
      <c r="N148" s="19">
        <v>0</v>
      </c>
      <c r="O148" s="19">
        <v>496000</v>
      </c>
      <c r="P148" s="19">
        <v>0</v>
      </c>
      <c r="Q148" s="19">
        <v>496000</v>
      </c>
      <c r="R148" s="19">
        <v>313290.78999999998</v>
      </c>
      <c r="S148" s="19">
        <v>182709.21</v>
      </c>
      <c r="T148" s="21">
        <f>IFERROR(Raw_Data!$S148/Raw_Data!$Q148,0)</f>
        <v>0.36836534274193544</v>
      </c>
      <c r="U148" s="19" t="s">
        <v>54</v>
      </c>
      <c r="V148" s="19" t="s">
        <v>47</v>
      </c>
      <c r="W148" s="19" t="s">
        <v>65</v>
      </c>
      <c r="X148" s="19" t="s">
        <v>36</v>
      </c>
    </row>
    <row r="149" spans="1:24" x14ac:dyDescent="0.35">
      <c r="A149" s="13" t="s">
        <v>350</v>
      </c>
      <c r="B149" s="14">
        <v>45859</v>
      </c>
      <c r="C149" s="4" t="s">
        <v>122</v>
      </c>
      <c r="D149" s="4" t="s">
        <v>123</v>
      </c>
      <c r="E149" s="4" t="s">
        <v>124</v>
      </c>
      <c r="F149" s="4" t="s">
        <v>87</v>
      </c>
      <c r="G149" s="4" t="s">
        <v>42</v>
      </c>
      <c r="H149" s="4" t="s">
        <v>80</v>
      </c>
      <c r="I149" s="4" t="s">
        <v>81</v>
      </c>
      <c r="J149" s="4" t="s">
        <v>31</v>
      </c>
      <c r="K149" s="4" t="s">
        <v>82</v>
      </c>
      <c r="L149" s="15">
        <v>6</v>
      </c>
      <c r="M149" s="4">
        <v>62000</v>
      </c>
      <c r="N149" s="4">
        <v>0.05</v>
      </c>
      <c r="O149" s="4">
        <v>372000</v>
      </c>
      <c r="P149" s="4">
        <v>18600</v>
      </c>
      <c r="Q149" s="4">
        <v>353400</v>
      </c>
      <c r="R149" s="4">
        <v>252285.07</v>
      </c>
      <c r="S149" s="4">
        <v>101114.93</v>
      </c>
      <c r="T149" s="16">
        <f>IFERROR(Raw_Data!$S149/Raw_Data!$Q149,0)</f>
        <v>0.28612034521788338</v>
      </c>
      <c r="U149" s="4" t="s">
        <v>54</v>
      </c>
      <c r="V149" s="4" t="s">
        <v>88</v>
      </c>
      <c r="W149" s="4" t="s">
        <v>55</v>
      </c>
      <c r="X149" s="4" t="s">
        <v>36</v>
      </c>
    </row>
    <row r="150" spans="1:24" x14ac:dyDescent="0.35">
      <c r="A150" s="17" t="s">
        <v>208</v>
      </c>
      <c r="B150" s="18">
        <v>45861</v>
      </c>
      <c r="C150" s="19" t="s">
        <v>38</v>
      </c>
      <c r="D150" s="19" t="s">
        <v>39</v>
      </c>
      <c r="E150" s="19" t="s">
        <v>40</v>
      </c>
      <c r="F150" s="19" t="s">
        <v>41</v>
      </c>
      <c r="G150" s="19" t="s">
        <v>42</v>
      </c>
      <c r="H150" s="19" t="s">
        <v>43</v>
      </c>
      <c r="I150" s="19" t="s">
        <v>44</v>
      </c>
      <c r="J150" s="19" t="s">
        <v>45</v>
      </c>
      <c r="K150" s="19" t="s">
        <v>46</v>
      </c>
      <c r="L150" s="20">
        <v>4</v>
      </c>
      <c r="M150" s="19">
        <v>8900</v>
      </c>
      <c r="N150" s="19">
        <v>0</v>
      </c>
      <c r="O150" s="19">
        <v>35600</v>
      </c>
      <c r="P150" s="19">
        <v>0</v>
      </c>
      <c r="Q150" s="19">
        <v>0</v>
      </c>
      <c r="R150" s="19">
        <v>25706.880000000001</v>
      </c>
      <c r="S150" s="19">
        <v>0</v>
      </c>
      <c r="T150" s="21">
        <f>IFERROR(Raw_Data!$S150/Raw_Data!$Q150,0)</f>
        <v>0</v>
      </c>
      <c r="U150" s="19" t="s">
        <v>54</v>
      </c>
      <c r="V150" s="19" t="s">
        <v>47</v>
      </c>
      <c r="W150" s="19" t="s">
        <v>65</v>
      </c>
      <c r="X150" s="19" t="s">
        <v>75</v>
      </c>
    </row>
    <row r="151" spans="1:24" x14ac:dyDescent="0.35">
      <c r="A151" s="13" t="s">
        <v>320</v>
      </c>
      <c r="B151" s="14">
        <v>45861</v>
      </c>
      <c r="C151" s="4" t="s">
        <v>131</v>
      </c>
      <c r="D151" s="4" t="s">
        <v>132</v>
      </c>
      <c r="E151" s="4" t="s">
        <v>133</v>
      </c>
      <c r="F151" s="4" t="s">
        <v>27</v>
      </c>
      <c r="G151" s="4" t="s">
        <v>28</v>
      </c>
      <c r="H151" s="4" t="s">
        <v>110</v>
      </c>
      <c r="I151" s="4" t="s">
        <v>111</v>
      </c>
      <c r="J151" s="4" t="s">
        <v>101</v>
      </c>
      <c r="K151" s="4" t="s">
        <v>112</v>
      </c>
      <c r="L151" s="15">
        <v>8</v>
      </c>
      <c r="M151" s="4">
        <v>22000</v>
      </c>
      <c r="N151" s="4">
        <v>0.05</v>
      </c>
      <c r="O151" s="4">
        <v>176000</v>
      </c>
      <c r="P151" s="4">
        <v>8800</v>
      </c>
      <c r="Q151" s="4">
        <v>0</v>
      </c>
      <c r="R151" s="4">
        <v>98445.52</v>
      </c>
      <c r="S151" s="4">
        <v>0</v>
      </c>
      <c r="T151" s="16">
        <f>IFERROR(Raw_Data!$S151/Raw_Data!$Q151,0)</f>
        <v>0</v>
      </c>
      <c r="U151" s="4" t="s">
        <v>54</v>
      </c>
      <c r="V151" s="4" t="s">
        <v>64</v>
      </c>
      <c r="W151" s="4" t="s">
        <v>65</v>
      </c>
      <c r="X151" s="4" t="s">
        <v>75</v>
      </c>
    </row>
    <row r="152" spans="1:24" x14ac:dyDescent="0.35">
      <c r="A152" s="17" t="s">
        <v>334</v>
      </c>
      <c r="B152" s="18">
        <v>45861</v>
      </c>
      <c r="C152" s="19" t="s">
        <v>135</v>
      </c>
      <c r="D152" s="19" t="s">
        <v>136</v>
      </c>
      <c r="E152" s="19" t="s">
        <v>137</v>
      </c>
      <c r="F152" s="19" t="s">
        <v>27</v>
      </c>
      <c r="G152" s="19" t="s">
        <v>97</v>
      </c>
      <c r="H152" s="19" t="s">
        <v>61</v>
      </c>
      <c r="I152" s="19" t="s">
        <v>62</v>
      </c>
      <c r="J152" s="19" t="s">
        <v>45</v>
      </c>
      <c r="K152" s="19" t="s">
        <v>63</v>
      </c>
      <c r="L152" s="20">
        <v>8</v>
      </c>
      <c r="M152" s="19">
        <v>1800</v>
      </c>
      <c r="N152" s="19">
        <v>0.15</v>
      </c>
      <c r="O152" s="19">
        <v>14400</v>
      </c>
      <c r="P152" s="19">
        <v>2160</v>
      </c>
      <c r="Q152" s="19">
        <v>12240</v>
      </c>
      <c r="R152" s="19">
        <v>8305.9500000000007</v>
      </c>
      <c r="S152" s="19">
        <v>3934.05</v>
      </c>
      <c r="T152" s="21">
        <f>IFERROR(Raw_Data!$S152/Raw_Data!$Q152,0)</f>
        <v>0.3214093137254902</v>
      </c>
      <c r="U152" s="19" t="s">
        <v>33</v>
      </c>
      <c r="V152" s="19" t="s">
        <v>47</v>
      </c>
      <c r="W152" s="19" t="s">
        <v>48</v>
      </c>
      <c r="X152" s="19" t="s">
        <v>36</v>
      </c>
    </row>
    <row r="153" spans="1:24" x14ac:dyDescent="0.35">
      <c r="A153" s="13" t="s">
        <v>298</v>
      </c>
      <c r="B153" s="14">
        <v>45867</v>
      </c>
      <c r="C153" s="4" t="s">
        <v>131</v>
      </c>
      <c r="D153" s="4" t="s">
        <v>132</v>
      </c>
      <c r="E153" s="4" t="s">
        <v>133</v>
      </c>
      <c r="F153" s="4" t="s">
        <v>27</v>
      </c>
      <c r="G153" s="4" t="s">
        <v>28</v>
      </c>
      <c r="H153" s="4" t="s">
        <v>43</v>
      </c>
      <c r="I153" s="4" t="s">
        <v>44</v>
      </c>
      <c r="J153" s="4" t="s">
        <v>45</v>
      </c>
      <c r="K153" s="4" t="s">
        <v>46</v>
      </c>
      <c r="L153" s="15">
        <v>6</v>
      </c>
      <c r="M153" s="4">
        <v>8900</v>
      </c>
      <c r="N153" s="4">
        <v>0.2</v>
      </c>
      <c r="O153" s="4">
        <v>53400</v>
      </c>
      <c r="P153" s="4">
        <v>10680</v>
      </c>
      <c r="Q153" s="4">
        <v>0</v>
      </c>
      <c r="R153" s="4">
        <v>30907.599999999999</v>
      </c>
      <c r="S153" s="4">
        <v>0</v>
      </c>
      <c r="T153" s="16">
        <f>IFERROR(Raw_Data!$S153/Raw_Data!$Q153,0)</f>
        <v>0</v>
      </c>
      <c r="U153" s="4" t="s">
        <v>33</v>
      </c>
      <c r="V153" s="4" t="s">
        <v>64</v>
      </c>
      <c r="W153" s="4" t="s">
        <v>35</v>
      </c>
      <c r="X153" s="4" t="s">
        <v>75</v>
      </c>
    </row>
    <row r="154" spans="1:24" x14ac:dyDescent="0.35">
      <c r="A154" s="17" t="s">
        <v>364</v>
      </c>
      <c r="B154" s="18">
        <v>45869</v>
      </c>
      <c r="C154" s="19" t="s">
        <v>146</v>
      </c>
      <c r="D154" s="19" t="s">
        <v>147</v>
      </c>
      <c r="E154" s="19" t="s">
        <v>148</v>
      </c>
      <c r="F154" s="19" t="s">
        <v>87</v>
      </c>
      <c r="G154" s="19" t="s">
        <v>28</v>
      </c>
      <c r="H154" s="19" t="s">
        <v>80</v>
      </c>
      <c r="I154" s="19" t="s">
        <v>81</v>
      </c>
      <c r="J154" s="19" t="s">
        <v>31</v>
      </c>
      <c r="K154" s="19" t="s">
        <v>82</v>
      </c>
      <c r="L154" s="20">
        <v>6</v>
      </c>
      <c r="M154" s="19">
        <v>62000</v>
      </c>
      <c r="N154" s="19">
        <v>0.2</v>
      </c>
      <c r="O154" s="19">
        <v>372000</v>
      </c>
      <c r="P154" s="19">
        <v>74400</v>
      </c>
      <c r="Q154" s="19">
        <v>0</v>
      </c>
      <c r="R154" s="19">
        <v>206348.98</v>
      </c>
      <c r="S154" s="19">
        <v>0</v>
      </c>
      <c r="T154" s="21">
        <f>IFERROR(Raw_Data!$S154/Raw_Data!$Q154,0)</f>
        <v>0</v>
      </c>
      <c r="U154" s="19" t="s">
        <v>54</v>
      </c>
      <c r="V154" s="19" t="s">
        <v>47</v>
      </c>
      <c r="W154" s="19" t="s">
        <v>48</v>
      </c>
      <c r="X154" s="19" t="s">
        <v>75</v>
      </c>
    </row>
    <row r="155" spans="1:24" x14ac:dyDescent="0.35">
      <c r="A155" s="13" t="s">
        <v>262</v>
      </c>
      <c r="B155" s="14">
        <v>45870</v>
      </c>
      <c r="C155" s="4" t="s">
        <v>38</v>
      </c>
      <c r="D155" s="4" t="s">
        <v>39</v>
      </c>
      <c r="E155" s="4" t="s">
        <v>40</v>
      </c>
      <c r="F155" s="4" t="s">
        <v>41</v>
      </c>
      <c r="G155" s="4" t="s">
        <v>42</v>
      </c>
      <c r="H155" s="4" t="s">
        <v>118</v>
      </c>
      <c r="I155" s="4" t="s">
        <v>119</v>
      </c>
      <c r="J155" s="4" t="s">
        <v>31</v>
      </c>
      <c r="K155" s="4" t="s">
        <v>120</v>
      </c>
      <c r="L155" s="15">
        <v>2</v>
      </c>
      <c r="M155" s="4">
        <v>14500</v>
      </c>
      <c r="N155" s="4">
        <v>0.1</v>
      </c>
      <c r="O155" s="4">
        <v>29000</v>
      </c>
      <c r="P155" s="4">
        <v>2900</v>
      </c>
      <c r="Q155" s="4">
        <v>26100</v>
      </c>
      <c r="R155" s="4">
        <v>18994.45</v>
      </c>
      <c r="S155" s="4">
        <v>7105.55</v>
      </c>
      <c r="T155" s="16">
        <f>IFERROR(Raw_Data!$S155/Raw_Data!$Q155,0)</f>
        <v>0.27224329501915712</v>
      </c>
      <c r="U155" s="4" t="s">
        <v>54</v>
      </c>
      <c r="V155" s="4" t="s">
        <v>34</v>
      </c>
      <c r="W155" s="4" t="s">
        <v>65</v>
      </c>
      <c r="X155" s="4" t="s">
        <v>36</v>
      </c>
    </row>
    <row r="156" spans="1:24" x14ac:dyDescent="0.35">
      <c r="A156" s="17" t="s">
        <v>283</v>
      </c>
      <c r="B156" s="18">
        <v>45870</v>
      </c>
      <c r="C156" s="19" t="s">
        <v>67</v>
      </c>
      <c r="D156" s="19" t="s">
        <v>68</v>
      </c>
      <c r="E156" s="19" t="s">
        <v>69</v>
      </c>
      <c r="F156" s="19" t="s">
        <v>41</v>
      </c>
      <c r="G156" s="19" t="s">
        <v>28</v>
      </c>
      <c r="H156" s="19" t="s">
        <v>99</v>
      </c>
      <c r="I156" s="19" t="s">
        <v>100</v>
      </c>
      <c r="J156" s="19" t="s">
        <v>101</v>
      </c>
      <c r="K156" s="19" t="s">
        <v>102</v>
      </c>
      <c r="L156" s="20">
        <v>5</v>
      </c>
      <c r="M156" s="19">
        <v>12500</v>
      </c>
      <c r="N156" s="19">
        <v>0</v>
      </c>
      <c r="O156" s="19">
        <v>62500</v>
      </c>
      <c r="P156" s="19">
        <v>0</v>
      </c>
      <c r="Q156" s="19">
        <v>62500</v>
      </c>
      <c r="R156" s="19">
        <v>47574.15</v>
      </c>
      <c r="S156" s="19">
        <v>14925.85</v>
      </c>
      <c r="T156" s="21">
        <f>IFERROR(Raw_Data!$S156/Raw_Data!$Q156,0)</f>
        <v>0.23881360000000001</v>
      </c>
      <c r="U156" s="19" t="s">
        <v>113</v>
      </c>
      <c r="V156" s="19" t="s">
        <v>139</v>
      </c>
      <c r="W156" s="19" t="s">
        <v>35</v>
      </c>
      <c r="X156" s="19" t="s">
        <v>36</v>
      </c>
    </row>
    <row r="157" spans="1:24" x14ac:dyDescent="0.35">
      <c r="A157" s="13" t="s">
        <v>307</v>
      </c>
      <c r="B157" s="14">
        <v>45872</v>
      </c>
      <c r="C157" s="4" t="s">
        <v>115</v>
      </c>
      <c r="D157" s="4" t="s">
        <v>116</v>
      </c>
      <c r="E157" s="4" t="s">
        <v>117</v>
      </c>
      <c r="F157" s="4" t="s">
        <v>60</v>
      </c>
      <c r="G157" s="4" t="s">
        <v>97</v>
      </c>
      <c r="H157" s="4" t="s">
        <v>110</v>
      </c>
      <c r="I157" s="4" t="s">
        <v>111</v>
      </c>
      <c r="J157" s="4" t="s">
        <v>101</v>
      </c>
      <c r="K157" s="4" t="s">
        <v>112</v>
      </c>
      <c r="L157" s="15">
        <v>3</v>
      </c>
      <c r="M157" s="4">
        <v>22000</v>
      </c>
      <c r="N157" s="4">
        <v>0</v>
      </c>
      <c r="O157" s="4">
        <v>66000</v>
      </c>
      <c r="P157" s="4">
        <v>0</v>
      </c>
      <c r="Q157" s="4">
        <v>66000</v>
      </c>
      <c r="R157" s="4">
        <v>50971.95</v>
      </c>
      <c r="S157" s="4">
        <v>15028.05</v>
      </c>
      <c r="T157" s="16">
        <f>IFERROR(Raw_Data!$S157/Raw_Data!$Q157,0)</f>
        <v>0.22769772727272727</v>
      </c>
      <c r="U157" s="4" t="s">
        <v>113</v>
      </c>
      <c r="V157" s="4" t="s">
        <v>47</v>
      </c>
      <c r="W157" s="4" t="s">
        <v>55</v>
      </c>
      <c r="X157" s="4" t="s">
        <v>36</v>
      </c>
    </row>
    <row r="158" spans="1:24" x14ac:dyDescent="0.35">
      <c r="A158" s="17" t="s">
        <v>204</v>
      </c>
      <c r="B158" s="18">
        <v>45873</v>
      </c>
      <c r="C158" s="19" t="s">
        <v>94</v>
      </c>
      <c r="D158" s="19" t="s">
        <v>95</v>
      </c>
      <c r="E158" s="19" t="s">
        <v>96</v>
      </c>
      <c r="F158" s="19" t="s">
        <v>60</v>
      </c>
      <c r="G158" s="19" t="s">
        <v>97</v>
      </c>
      <c r="H158" s="19" t="s">
        <v>61</v>
      </c>
      <c r="I158" s="19" t="s">
        <v>62</v>
      </c>
      <c r="J158" s="19" t="s">
        <v>45</v>
      </c>
      <c r="K158" s="19" t="s">
        <v>63</v>
      </c>
      <c r="L158" s="20">
        <v>5</v>
      </c>
      <c r="M158" s="19">
        <v>1800</v>
      </c>
      <c r="N158" s="19">
        <v>0</v>
      </c>
      <c r="O158" s="19">
        <v>9000</v>
      </c>
      <c r="P158" s="19">
        <v>0</v>
      </c>
      <c r="Q158" s="19">
        <v>0</v>
      </c>
      <c r="R158" s="19">
        <v>6235.86</v>
      </c>
      <c r="S158" s="19">
        <v>0</v>
      </c>
      <c r="T158" s="21">
        <f>IFERROR(Raw_Data!$S158/Raw_Data!$Q158,0)</f>
        <v>0</v>
      </c>
      <c r="U158" s="19" t="s">
        <v>33</v>
      </c>
      <c r="V158" s="19" t="s">
        <v>47</v>
      </c>
      <c r="W158" s="19" t="s">
        <v>65</v>
      </c>
      <c r="X158" s="19" t="s">
        <v>75</v>
      </c>
    </row>
    <row r="159" spans="1:24" x14ac:dyDescent="0.35">
      <c r="A159" s="13" t="s">
        <v>141</v>
      </c>
      <c r="B159" s="14">
        <v>45874</v>
      </c>
      <c r="C159" s="4" t="s">
        <v>142</v>
      </c>
      <c r="D159" s="4" t="s">
        <v>143</v>
      </c>
      <c r="E159" s="4" t="s">
        <v>144</v>
      </c>
      <c r="F159" s="4" t="s">
        <v>87</v>
      </c>
      <c r="G159" s="4" t="s">
        <v>28</v>
      </c>
      <c r="H159" s="4" t="s">
        <v>72</v>
      </c>
      <c r="I159" s="4" t="s">
        <v>73</v>
      </c>
      <c r="J159" s="4" t="s">
        <v>45</v>
      </c>
      <c r="K159" s="4" t="s">
        <v>74</v>
      </c>
      <c r="L159" s="15">
        <v>7</v>
      </c>
      <c r="M159" s="4">
        <v>4200</v>
      </c>
      <c r="N159" s="4">
        <v>0.1</v>
      </c>
      <c r="O159" s="4">
        <v>29400</v>
      </c>
      <c r="P159" s="4">
        <v>2940</v>
      </c>
      <c r="Q159" s="4">
        <v>26460</v>
      </c>
      <c r="R159" s="4">
        <v>20832.509999999998</v>
      </c>
      <c r="S159" s="4">
        <v>5627.49</v>
      </c>
      <c r="T159" s="16">
        <f>IFERROR(Raw_Data!$S159/Raw_Data!$Q159,0)</f>
        <v>0.21267913832199545</v>
      </c>
      <c r="U159" s="4" t="s">
        <v>33</v>
      </c>
      <c r="V159" s="4" t="s">
        <v>34</v>
      </c>
      <c r="W159" s="4" t="s">
        <v>35</v>
      </c>
      <c r="X159" s="4" t="s">
        <v>36</v>
      </c>
    </row>
    <row r="160" spans="1:24" x14ac:dyDescent="0.35">
      <c r="A160" s="17" t="s">
        <v>383</v>
      </c>
      <c r="B160" s="18">
        <v>45875</v>
      </c>
      <c r="C160" s="19" t="s">
        <v>90</v>
      </c>
      <c r="D160" s="19" t="s">
        <v>91</v>
      </c>
      <c r="E160" s="19" t="s">
        <v>92</v>
      </c>
      <c r="F160" s="19" t="s">
        <v>60</v>
      </c>
      <c r="G160" s="19" t="s">
        <v>42</v>
      </c>
      <c r="H160" s="19" t="s">
        <v>110</v>
      </c>
      <c r="I160" s="19" t="s">
        <v>111</v>
      </c>
      <c r="J160" s="19" t="s">
        <v>101</v>
      </c>
      <c r="K160" s="19" t="s">
        <v>112</v>
      </c>
      <c r="L160" s="20">
        <v>7</v>
      </c>
      <c r="M160" s="19">
        <v>22000</v>
      </c>
      <c r="N160" s="19">
        <v>0</v>
      </c>
      <c r="O160" s="19">
        <v>154000</v>
      </c>
      <c r="P160" s="19">
        <v>0</v>
      </c>
      <c r="Q160" s="19">
        <v>154000</v>
      </c>
      <c r="R160" s="19">
        <v>98468.04</v>
      </c>
      <c r="S160" s="19">
        <v>55531.96</v>
      </c>
      <c r="T160" s="21">
        <f>IFERROR(Raw_Data!$S160/Raw_Data!$Q160,0)</f>
        <v>0.36059714285714284</v>
      </c>
      <c r="U160" s="19" t="s">
        <v>54</v>
      </c>
      <c r="V160" s="19" t="s">
        <v>64</v>
      </c>
      <c r="W160" s="19" t="s">
        <v>48</v>
      </c>
      <c r="X160" s="19" t="s">
        <v>36</v>
      </c>
    </row>
    <row r="161" spans="1:24" x14ac:dyDescent="0.35">
      <c r="A161" s="13" t="s">
        <v>273</v>
      </c>
      <c r="B161" s="14">
        <v>45878</v>
      </c>
      <c r="C161" s="4" t="s">
        <v>51</v>
      </c>
      <c r="D161" s="4" t="s">
        <v>52</v>
      </c>
      <c r="E161" s="4" t="s">
        <v>53</v>
      </c>
      <c r="F161" s="4" t="s">
        <v>27</v>
      </c>
      <c r="G161" s="4" t="s">
        <v>28</v>
      </c>
      <c r="H161" s="4" t="s">
        <v>151</v>
      </c>
      <c r="I161" s="4" t="s">
        <v>152</v>
      </c>
      <c r="J161" s="4" t="s">
        <v>45</v>
      </c>
      <c r="K161" s="4" t="s">
        <v>153</v>
      </c>
      <c r="L161" s="15">
        <v>8</v>
      </c>
      <c r="M161" s="4">
        <v>3200</v>
      </c>
      <c r="N161" s="4">
        <v>0</v>
      </c>
      <c r="O161" s="4">
        <v>25600</v>
      </c>
      <c r="P161" s="4">
        <v>0</v>
      </c>
      <c r="Q161" s="4">
        <v>25600</v>
      </c>
      <c r="R161" s="4">
        <v>17390.47</v>
      </c>
      <c r="S161" s="4">
        <v>8209.5300000000007</v>
      </c>
      <c r="T161" s="16">
        <f>IFERROR(Raw_Data!$S161/Raw_Data!$Q161,0)</f>
        <v>0.32068476562500003</v>
      </c>
      <c r="U161" s="4" t="s">
        <v>113</v>
      </c>
      <c r="V161" s="4" t="s">
        <v>139</v>
      </c>
      <c r="W161" s="4" t="s">
        <v>35</v>
      </c>
      <c r="X161" s="4" t="s">
        <v>36</v>
      </c>
    </row>
    <row r="162" spans="1:24" x14ac:dyDescent="0.35">
      <c r="A162" s="17" t="s">
        <v>275</v>
      </c>
      <c r="B162" s="18">
        <v>45879</v>
      </c>
      <c r="C162" s="19" t="s">
        <v>135</v>
      </c>
      <c r="D162" s="19" t="s">
        <v>136</v>
      </c>
      <c r="E162" s="19" t="s">
        <v>137</v>
      </c>
      <c r="F162" s="19" t="s">
        <v>27</v>
      </c>
      <c r="G162" s="19" t="s">
        <v>97</v>
      </c>
      <c r="H162" s="19" t="s">
        <v>80</v>
      </c>
      <c r="I162" s="19" t="s">
        <v>81</v>
      </c>
      <c r="J162" s="19" t="s">
        <v>31</v>
      </c>
      <c r="K162" s="19" t="s">
        <v>82</v>
      </c>
      <c r="L162" s="20">
        <v>2</v>
      </c>
      <c r="M162" s="19">
        <v>62000</v>
      </c>
      <c r="N162" s="19">
        <v>0.2</v>
      </c>
      <c r="O162" s="19">
        <v>124000</v>
      </c>
      <c r="P162" s="19">
        <v>24800</v>
      </c>
      <c r="Q162" s="19">
        <v>99200</v>
      </c>
      <c r="R162" s="19">
        <v>75125.259999999995</v>
      </c>
      <c r="S162" s="19">
        <v>24074.74</v>
      </c>
      <c r="T162" s="21">
        <f>IFERROR(Raw_Data!$S162/Raw_Data!$Q162,0)</f>
        <v>0.24268891129032261</v>
      </c>
      <c r="U162" s="19" t="s">
        <v>33</v>
      </c>
      <c r="V162" s="19" t="s">
        <v>47</v>
      </c>
      <c r="W162" s="19" t="s">
        <v>65</v>
      </c>
      <c r="X162" s="19" t="s">
        <v>36</v>
      </c>
    </row>
    <row r="163" spans="1:24" x14ac:dyDescent="0.35">
      <c r="A163" s="13" t="s">
        <v>408</v>
      </c>
      <c r="B163" s="14">
        <v>45880</v>
      </c>
      <c r="C163" s="4" t="s">
        <v>135</v>
      </c>
      <c r="D163" s="4" t="s">
        <v>136</v>
      </c>
      <c r="E163" s="4" t="s">
        <v>137</v>
      </c>
      <c r="F163" s="4" t="s">
        <v>27</v>
      </c>
      <c r="G163" s="4" t="s">
        <v>97</v>
      </c>
      <c r="H163" s="4" t="s">
        <v>99</v>
      </c>
      <c r="I163" s="4" t="s">
        <v>100</v>
      </c>
      <c r="J163" s="4" t="s">
        <v>101</v>
      </c>
      <c r="K163" s="4" t="s">
        <v>102</v>
      </c>
      <c r="L163" s="15">
        <v>6</v>
      </c>
      <c r="M163" s="4">
        <v>12500</v>
      </c>
      <c r="N163" s="4">
        <v>0.15</v>
      </c>
      <c r="O163" s="4">
        <v>75000</v>
      </c>
      <c r="P163" s="4">
        <v>11250</v>
      </c>
      <c r="Q163" s="4">
        <v>63750</v>
      </c>
      <c r="R163" s="4">
        <v>51928.14</v>
      </c>
      <c r="S163" s="4">
        <v>11821.86</v>
      </c>
      <c r="T163" s="16">
        <f>IFERROR(Raw_Data!$S163/Raw_Data!$Q163,0)</f>
        <v>0.18544094117647059</v>
      </c>
      <c r="U163" s="4" t="s">
        <v>33</v>
      </c>
      <c r="V163" s="4" t="s">
        <v>47</v>
      </c>
      <c r="W163" s="4" t="s">
        <v>48</v>
      </c>
      <c r="X163" s="4" t="s">
        <v>36</v>
      </c>
    </row>
    <row r="164" spans="1:24" x14ac:dyDescent="0.35">
      <c r="A164" s="17" t="s">
        <v>293</v>
      </c>
      <c r="B164" s="18">
        <v>45883</v>
      </c>
      <c r="C164" s="19" t="s">
        <v>57</v>
      </c>
      <c r="D164" s="19" t="s">
        <v>58</v>
      </c>
      <c r="E164" s="19" t="s">
        <v>59</v>
      </c>
      <c r="F164" s="19" t="s">
        <v>60</v>
      </c>
      <c r="G164" s="19" t="s">
        <v>42</v>
      </c>
      <c r="H164" s="19" t="s">
        <v>118</v>
      </c>
      <c r="I164" s="19" t="s">
        <v>119</v>
      </c>
      <c r="J164" s="19" t="s">
        <v>31</v>
      </c>
      <c r="K164" s="19" t="s">
        <v>120</v>
      </c>
      <c r="L164" s="20">
        <v>2</v>
      </c>
      <c r="M164" s="19">
        <v>14500</v>
      </c>
      <c r="N164" s="19">
        <v>0.1</v>
      </c>
      <c r="O164" s="19">
        <v>29000</v>
      </c>
      <c r="P164" s="19">
        <v>2900</v>
      </c>
      <c r="Q164" s="19">
        <v>26100</v>
      </c>
      <c r="R164" s="19">
        <v>17907.990000000002</v>
      </c>
      <c r="S164" s="19">
        <v>8192.01</v>
      </c>
      <c r="T164" s="21">
        <f>IFERROR(Raw_Data!$S164/Raw_Data!$Q164,0)</f>
        <v>0.31387011494252876</v>
      </c>
      <c r="U164" s="19" t="s">
        <v>113</v>
      </c>
      <c r="V164" s="19" t="s">
        <v>70</v>
      </c>
      <c r="W164" s="19" t="s">
        <v>35</v>
      </c>
      <c r="X164" s="19" t="s">
        <v>36</v>
      </c>
    </row>
    <row r="165" spans="1:24" x14ac:dyDescent="0.35">
      <c r="A165" s="13" t="s">
        <v>190</v>
      </c>
      <c r="B165" s="14">
        <v>45884</v>
      </c>
      <c r="C165" s="4" t="s">
        <v>90</v>
      </c>
      <c r="D165" s="4" t="s">
        <v>91</v>
      </c>
      <c r="E165" s="4" t="s">
        <v>92</v>
      </c>
      <c r="F165" s="4" t="s">
        <v>60</v>
      </c>
      <c r="G165" s="4" t="s">
        <v>42</v>
      </c>
      <c r="H165" s="4" t="s">
        <v>99</v>
      </c>
      <c r="I165" s="4" t="s">
        <v>100</v>
      </c>
      <c r="J165" s="4" t="s">
        <v>101</v>
      </c>
      <c r="K165" s="4" t="s">
        <v>102</v>
      </c>
      <c r="L165" s="15">
        <v>4</v>
      </c>
      <c r="M165" s="4">
        <v>12500</v>
      </c>
      <c r="N165" s="4">
        <v>0.15</v>
      </c>
      <c r="O165" s="4">
        <v>50000</v>
      </c>
      <c r="P165" s="4">
        <v>7500</v>
      </c>
      <c r="Q165" s="4">
        <v>0</v>
      </c>
      <c r="R165" s="4">
        <v>29476.5</v>
      </c>
      <c r="S165" s="4">
        <v>0</v>
      </c>
      <c r="T165" s="16">
        <f>IFERROR(Raw_Data!$S165/Raw_Data!$Q165,0)</f>
        <v>0</v>
      </c>
      <c r="U165" s="4" t="s">
        <v>54</v>
      </c>
      <c r="V165" s="4" t="s">
        <v>34</v>
      </c>
      <c r="W165" s="4" t="s">
        <v>35</v>
      </c>
      <c r="X165" s="4" t="s">
        <v>75</v>
      </c>
    </row>
    <row r="166" spans="1:24" x14ac:dyDescent="0.35">
      <c r="A166" s="17" t="s">
        <v>362</v>
      </c>
      <c r="B166" s="18">
        <v>45884</v>
      </c>
      <c r="C166" s="19" t="s">
        <v>135</v>
      </c>
      <c r="D166" s="19" t="s">
        <v>136</v>
      </c>
      <c r="E166" s="19" t="s">
        <v>137</v>
      </c>
      <c r="F166" s="19" t="s">
        <v>27</v>
      </c>
      <c r="G166" s="19" t="s">
        <v>97</v>
      </c>
      <c r="H166" s="19" t="s">
        <v>72</v>
      </c>
      <c r="I166" s="19" t="s">
        <v>73</v>
      </c>
      <c r="J166" s="19" t="s">
        <v>45</v>
      </c>
      <c r="K166" s="19" t="s">
        <v>74</v>
      </c>
      <c r="L166" s="20">
        <v>5</v>
      </c>
      <c r="M166" s="19">
        <v>4200</v>
      </c>
      <c r="N166" s="19">
        <v>0.2</v>
      </c>
      <c r="O166" s="19">
        <v>21000</v>
      </c>
      <c r="P166" s="19">
        <v>4200</v>
      </c>
      <c r="Q166" s="19">
        <v>16800</v>
      </c>
      <c r="R166" s="19">
        <v>11675.65</v>
      </c>
      <c r="S166" s="19">
        <v>5124.3500000000004</v>
      </c>
      <c r="T166" s="21">
        <f>IFERROR(Raw_Data!$S166/Raw_Data!$Q166,0)</f>
        <v>0.30502083333333335</v>
      </c>
      <c r="U166" s="19" t="s">
        <v>33</v>
      </c>
      <c r="V166" s="19" t="s">
        <v>64</v>
      </c>
      <c r="W166" s="19" t="s">
        <v>65</v>
      </c>
      <c r="X166" s="19" t="s">
        <v>36</v>
      </c>
    </row>
    <row r="167" spans="1:24" x14ac:dyDescent="0.35">
      <c r="A167" s="13" t="s">
        <v>263</v>
      </c>
      <c r="B167" s="14">
        <v>45885</v>
      </c>
      <c r="C167" s="4" t="s">
        <v>84</v>
      </c>
      <c r="D167" s="4" t="s">
        <v>85</v>
      </c>
      <c r="E167" s="4" t="s">
        <v>86</v>
      </c>
      <c r="F167" s="4" t="s">
        <v>87</v>
      </c>
      <c r="G167" s="4" t="s">
        <v>42</v>
      </c>
      <c r="H167" s="4" t="s">
        <v>99</v>
      </c>
      <c r="I167" s="4" t="s">
        <v>100</v>
      </c>
      <c r="J167" s="4" t="s">
        <v>101</v>
      </c>
      <c r="K167" s="4" t="s">
        <v>102</v>
      </c>
      <c r="L167" s="15">
        <v>4</v>
      </c>
      <c r="M167" s="4">
        <v>12500</v>
      </c>
      <c r="N167" s="4">
        <v>0.05</v>
      </c>
      <c r="O167" s="4">
        <v>50000</v>
      </c>
      <c r="P167" s="4">
        <v>2500</v>
      </c>
      <c r="Q167" s="4">
        <v>0</v>
      </c>
      <c r="R167" s="4">
        <v>28682.639999999999</v>
      </c>
      <c r="S167" s="4">
        <v>0</v>
      </c>
      <c r="T167" s="16">
        <f>IFERROR(Raw_Data!$S167/Raw_Data!$Q167,0)</f>
        <v>0</v>
      </c>
      <c r="U167" s="4" t="s">
        <v>113</v>
      </c>
      <c r="V167" s="4" t="s">
        <v>70</v>
      </c>
      <c r="W167" s="4" t="s">
        <v>65</v>
      </c>
      <c r="X167" s="4" t="s">
        <v>75</v>
      </c>
    </row>
    <row r="168" spans="1:24" x14ac:dyDescent="0.35">
      <c r="A168" s="17" t="s">
        <v>269</v>
      </c>
      <c r="B168" s="18">
        <v>45887</v>
      </c>
      <c r="C168" s="19" t="s">
        <v>135</v>
      </c>
      <c r="D168" s="19" t="s">
        <v>136</v>
      </c>
      <c r="E168" s="19" t="s">
        <v>137</v>
      </c>
      <c r="F168" s="19" t="s">
        <v>27</v>
      </c>
      <c r="G168" s="19" t="s">
        <v>97</v>
      </c>
      <c r="H168" s="19" t="s">
        <v>99</v>
      </c>
      <c r="I168" s="19" t="s">
        <v>100</v>
      </c>
      <c r="J168" s="19" t="s">
        <v>101</v>
      </c>
      <c r="K168" s="19" t="s">
        <v>102</v>
      </c>
      <c r="L168" s="20">
        <v>6</v>
      </c>
      <c r="M168" s="19">
        <v>12500</v>
      </c>
      <c r="N168" s="19">
        <v>0.15</v>
      </c>
      <c r="O168" s="19">
        <v>75000</v>
      </c>
      <c r="P168" s="19">
        <v>11250</v>
      </c>
      <c r="Q168" s="19">
        <v>63750</v>
      </c>
      <c r="R168" s="19">
        <v>46058.09</v>
      </c>
      <c r="S168" s="19">
        <v>17691.91</v>
      </c>
      <c r="T168" s="21">
        <f>IFERROR(Raw_Data!$S168/Raw_Data!$Q168,0)</f>
        <v>0.27752015686274512</v>
      </c>
      <c r="U168" s="19" t="s">
        <v>33</v>
      </c>
      <c r="V168" s="19" t="s">
        <v>88</v>
      </c>
      <c r="W168" s="19" t="s">
        <v>35</v>
      </c>
      <c r="X168" s="19" t="s">
        <v>36</v>
      </c>
    </row>
    <row r="169" spans="1:24" x14ac:dyDescent="0.35">
      <c r="A169" s="13" t="s">
        <v>381</v>
      </c>
      <c r="B169" s="14">
        <v>45887</v>
      </c>
      <c r="C169" s="4" t="s">
        <v>176</v>
      </c>
      <c r="D169" s="4" t="s">
        <v>177</v>
      </c>
      <c r="E169" s="4" t="s">
        <v>178</v>
      </c>
      <c r="F169" s="4" t="s">
        <v>108</v>
      </c>
      <c r="G169" s="4" t="s">
        <v>28</v>
      </c>
      <c r="H169" s="4" t="s">
        <v>43</v>
      </c>
      <c r="I169" s="4" t="s">
        <v>44</v>
      </c>
      <c r="J169" s="4" t="s">
        <v>45</v>
      </c>
      <c r="K169" s="4" t="s">
        <v>46</v>
      </c>
      <c r="L169" s="15">
        <v>7</v>
      </c>
      <c r="M169" s="4">
        <v>8900</v>
      </c>
      <c r="N169" s="4">
        <v>0.1</v>
      </c>
      <c r="O169" s="4">
        <v>62300</v>
      </c>
      <c r="P169" s="4">
        <v>6230</v>
      </c>
      <c r="Q169" s="4">
        <v>0</v>
      </c>
      <c r="R169" s="4">
        <v>33600.51</v>
      </c>
      <c r="S169" s="4">
        <v>0</v>
      </c>
      <c r="T169" s="16">
        <f>IFERROR(Raw_Data!$S169/Raw_Data!$Q169,0)</f>
        <v>0</v>
      </c>
      <c r="U169" s="4" t="s">
        <v>33</v>
      </c>
      <c r="V169" s="4" t="s">
        <v>88</v>
      </c>
      <c r="W169" s="4" t="s">
        <v>65</v>
      </c>
      <c r="X169" s="4" t="s">
        <v>75</v>
      </c>
    </row>
    <row r="170" spans="1:24" x14ac:dyDescent="0.35">
      <c r="A170" s="17" t="s">
        <v>417</v>
      </c>
      <c r="B170" s="18">
        <v>45887</v>
      </c>
      <c r="C170" s="19" t="s">
        <v>105</v>
      </c>
      <c r="D170" s="19" t="s">
        <v>106</v>
      </c>
      <c r="E170" s="19" t="s">
        <v>107</v>
      </c>
      <c r="F170" s="19" t="s">
        <v>108</v>
      </c>
      <c r="G170" s="19" t="s">
        <v>28</v>
      </c>
      <c r="H170" s="19" t="s">
        <v>43</v>
      </c>
      <c r="I170" s="19" t="s">
        <v>44</v>
      </c>
      <c r="J170" s="19" t="s">
        <v>45</v>
      </c>
      <c r="K170" s="19" t="s">
        <v>46</v>
      </c>
      <c r="L170" s="20">
        <v>7</v>
      </c>
      <c r="M170" s="19">
        <v>8900</v>
      </c>
      <c r="N170" s="19">
        <v>0</v>
      </c>
      <c r="O170" s="19">
        <v>62300</v>
      </c>
      <c r="P170" s="19">
        <v>0</v>
      </c>
      <c r="Q170" s="19">
        <v>62300</v>
      </c>
      <c r="R170" s="19">
        <v>36526.67</v>
      </c>
      <c r="S170" s="19">
        <v>25773.33</v>
      </c>
      <c r="T170" s="21">
        <f>IFERROR(Raw_Data!$S170/Raw_Data!$Q170,0)</f>
        <v>0.41369711075441418</v>
      </c>
      <c r="U170" s="19" t="s">
        <v>33</v>
      </c>
      <c r="V170" s="19" t="s">
        <v>47</v>
      </c>
      <c r="W170" s="19" t="s">
        <v>65</v>
      </c>
      <c r="X170" s="19" t="s">
        <v>36</v>
      </c>
    </row>
    <row r="171" spans="1:24" x14ac:dyDescent="0.35">
      <c r="A171" s="13" t="s">
        <v>196</v>
      </c>
      <c r="B171" s="14">
        <v>45888</v>
      </c>
      <c r="C171" s="4" t="s">
        <v>105</v>
      </c>
      <c r="D171" s="4" t="s">
        <v>106</v>
      </c>
      <c r="E171" s="4" t="s">
        <v>107</v>
      </c>
      <c r="F171" s="4" t="s">
        <v>108</v>
      </c>
      <c r="G171" s="4" t="s">
        <v>28</v>
      </c>
      <c r="H171" s="4" t="s">
        <v>99</v>
      </c>
      <c r="I171" s="4" t="s">
        <v>100</v>
      </c>
      <c r="J171" s="4" t="s">
        <v>101</v>
      </c>
      <c r="K171" s="4" t="s">
        <v>102</v>
      </c>
      <c r="L171" s="15">
        <v>5</v>
      </c>
      <c r="M171" s="4">
        <v>12500</v>
      </c>
      <c r="N171" s="4">
        <v>0</v>
      </c>
      <c r="O171" s="4">
        <v>62500</v>
      </c>
      <c r="P171" s="4">
        <v>0</v>
      </c>
      <c r="Q171" s="4">
        <v>62500</v>
      </c>
      <c r="R171" s="4">
        <v>48847.94</v>
      </c>
      <c r="S171" s="4">
        <v>13652.06</v>
      </c>
      <c r="T171" s="16">
        <f>IFERROR(Raw_Data!$S171/Raw_Data!$Q171,0)</f>
        <v>0.21843295999999998</v>
      </c>
      <c r="U171" s="4" t="s">
        <v>33</v>
      </c>
      <c r="V171" s="4" t="s">
        <v>139</v>
      </c>
      <c r="W171" s="4" t="s">
        <v>48</v>
      </c>
      <c r="X171" s="4" t="s">
        <v>36</v>
      </c>
    </row>
    <row r="172" spans="1:24" x14ac:dyDescent="0.35">
      <c r="A172" s="17" t="s">
        <v>335</v>
      </c>
      <c r="B172" s="18">
        <v>45888</v>
      </c>
      <c r="C172" s="19" t="s">
        <v>57</v>
      </c>
      <c r="D172" s="19" t="s">
        <v>58</v>
      </c>
      <c r="E172" s="19" t="s">
        <v>59</v>
      </c>
      <c r="F172" s="19" t="s">
        <v>60</v>
      </c>
      <c r="G172" s="19" t="s">
        <v>42</v>
      </c>
      <c r="H172" s="19" t="s">
        <v>80</v>
      </c>
      <c r="I172" s="19" t="s">
        <v>81</v>
      </c>
      <c r="J172" s="19" t="s">
        <v>31</v>
      </c>
      <c r="K172" s="19" t="s">
        <v>82</v>
      </c>
      <c r="L172" s="20">
        <v>8</v>
      </c>
      <c r="M172" s="19">
        <v>62000</v>
      </c>
      <c r="N172" s="19">
        <v>0.2</v>
      </c>
      <c r="O172" s="19">
        <v>496000</v>
      </c>
      <c r="P172" s="19">
        <v>99200</v>
      </c>
      <c r="Q172" s="19">
        <v>396800</v>
      </c>
      <c r="R172" s="19">
        <v>279413.23</v>
      </c>
      <c r="S172" s="19">
        <v>117386.77</v>
      </c>
      <c r="T172" s="21">
        <f>IFERROR(Raw_Data!$S172/Raw_Data!$Q172,0)</f>
        <v>0.29583359375000001</v>
      </c>
      <c r="U172" s="19" t="s">
        <v>33</v>
      </c>
      <c r="V172" s="19" t="s">
        <v>34</v>
      </c>
      <c r="W172" s="19" t="s">
        <v>48</v>
      </c>
      <c r="X172" s="19" t="s">
        <v>36</v>
      </c>
    </row>
    <row r="173" spans="1:24" x14ac:dyDescent="0.35">
      <c r="A173" s="13" t="s">
        <v>281</v>
      </c>
      <c r="B173" s="14">
        <v>45890</v>
      </c>
      <c r="C173" s="4" t="s">
        <v>94</v>
      </c>
      <c r="D173" s="4" t="s">
        <v>95</v>
      </c>
      <c r="E173" s="4" t="s">
        <v>96</v>
      </c>
      <c r="F173" s="4" t="s">
        <v>60</v>
      </c>
      <c r="G173" s="4" t="s">
        <v>97</v>
      </c>
      <c r="H173" s="4" t="s">
        <v>43</v>
      </c>
      <c r="I173" s="4" t="s">
        <v>44</v>
      </c>
      <c r="J173" s="4" t="s">
        <v>45</v>
      </c>
      <c r="K173" s="4" t="s">
        <v>46</v>
      </c>
      <c r="L173" s="15">
        <v>6</v>
      </c>
      <c r="M173" s="4">
        <v>8900</v>
      </c>
      <c r="N173" s="4">
        <v>0</v>
      </c>
      <c r="O173" s="4">
        <v>53400</v>
      </c>
      <c r="P173" s="4">
        <v>0</v>
      </c>
      <c r="Q173" s="4">
        <v>0</v>
      </c>
      <c r="R173" s="4">
        <v>35714.6</v>
      </c>
      <c r="S173" s="4">
        <v>0</v>
      </c>
      <c r="T173" s="16">
        <f>IFERROR(Raw_Data!$S173/Raw_Data!$Q173,0)</f>
        <v>0</v>
      </c>
      <c r="U173" s="4" t="s">
        <v>113</v>
      </c>
      <c r="V173" s="4" t="s">
        <v>70</v>
      </c>
      <c r="W173" s="4" t="s">
        <v>35</v>
      </c>
      <c r="X173" s="4" t="s">
        <v>75</v>
      </c>
    </row>
    <row r="174" spans="1:24" x14ac:dyDescent="0.35">
      <c r="A174" s="17" t="s">
        <v>378</v>
      </c>
      <c r="B174" s="18">
        <v>45891</v>
      </c>
      <c r="C174" s="19" t="s">
        <v>115</v>
      </c>
      <c r="D174" s="19" t="s">
        <v>116</v>
      </c>
      <c r="E174" s="19" t="s">
        <v>117</v>
      </c>
      <c r="F174" s="19" t="s">
        <v>60</v>
      </c>
      <c r="G174" s="19" t="s">
        <v>97</v>
      </c>
      <c r="H174" s="19" t="s">
        <v>43</v>
      </c>
      <c r="I174" s="19" t="s">
        <v>44</v>
      </c>
      <c r="J174" s="19" t="s">
        <v>45</v>
      </c>
      <c r="K174" s="19" t="s">
        <v>46</v>
      </c>
      <c r="L174" s="20">
        <v>1</v>
      </c>
      <c r="M174" s="19">
        <v>8900</v>
      </c>
      <c r="N174" s="19">
        <v>0.15</v>
      </c>
      <c r="O174" s="19">
        <v>8900</v>
      </c>
      <c r="P174" s="19">
        <v>1335</v>
      </c>
      <c r="Q174" s="19">
        <v>7565</v>
      </c>
      <c r="R174" s="19">
        <v>5227.1899999999996</v>
      </c>
      <c r="S174" s="19">
        <v>2337.81</v>
      </c>
      <c r="T174" s="21">
        <f>IFERROR(Raw_Data!$S174/Raw_Data!$Q174,0)</f>
        <v>0.30902974223397223</v>
      </c>
      <c r="U174" s="19" t="s">
        <v>33</v>
      </c>
      <c r="V174" s="19" t="s">
        <v>47</v>
      </c>
      <c r="W174" s="19" t="s">
        <v>55</v>
      </c>
      <c r="X174" s="19" t="s">
        <v>36</v>
      </c>
    </row>
    <row r="175" spans="1:24" x14ac:dyDescent="0.35">
      <c r="A175" s="13" t="s">
        <v>166</v>
      </c>
      <c r="B175" s="14">
        <v>45892</v>
      </c>
      <c r="C175" s="4" t="s">
        <v>135</v>
      </c>
      <c r="D175" s="4" t="s">
        <v>136</v>
      </c>
      <c r="E175" s="4" t="s">
        <v>137</v>
      </c>
      <c r="F175" s="4" t="s">
        <v>27</v>
      </c>
      <c r="G175" s="4" t="s">
        <v>97</v>
      </c>
      <c r="H175" s="4" t="s">
        <v>29</v>
      </c>
      <c r="I175" s="4" t="s">
        <v>30</v>
      </c>
      <c r="J175" s="4" t="s">
        <v>31</v>
      </c>
      <c r="K175" s="4" t="s">
        <v>32</v>
      </c>
      <c r="L175" s="15">
        <v>2</v>
      </c>
      <c r="M175" s="4">
        <v>78000</v>
      </c>
      <c r="N175" s="4">
        <v>0</v>
      </c>
      <c r="O175" s="4">
        <v>156000</v>
      </c>
      <c r="P175" s="4">
        <v>0</v>
      </c>
      <c r="Q175" s="4">
        <v>-156000</v>
      </c>
      <c r="R175" s="4">
        <v>110609.03</v>
      </c>
      <c r="S175" s="4">
        <v>-45390.97</v>
      </c>
      <c r="T175" s="16">
        <f>IFERROR(Raw_Data!$S175/Raw_Data!$Q175,0)</f>
        <v>0.29096775641025641</v>
      </c>
      <c r="U175" s="4" t="s">
        <v>113</v>
      </c>
      <c r="V175" s="4" t="s">
        <v>88</v>
      </c>
      <c r="W175" s="4" t="s">
        <v>65</v>
      </c>
      <c r="X175" s="4" t="s">
        <v>49</v>
      </c>
    </row>
    <row r="176" spans="1:24" x14ac:dyDescent="0.35">
      <c r="A176" s="17" t="s">
        <v>270</v>
      </c>
      <c r="B176" s="18">
        <v>45892</v>
      </c>
      <c r="C176" s="19" t="s">
        <v>115</v>
      </c>
      <c r="D176" s="19" t="s">
        <v>116</v>
      </c>
      <c r="E176" s="19" t="s">
        <v>117</v>
      </c>
      <c r="F176" s="19" t="s">
        <v>60</v>
      </c>
      <c r="G176" s="19" t="s">
        <v>97</v>
      </c>
      <c r="H176" s="19" t="s">
        <v>61</v>
      </c>
      <c r="I176" s="19" t="s">
        <v>62</v>
      </c>
      <c r="J176" s="19" t="s">
        <v>45</v>
      </c>
      <c r="K176" s="19" t="s">
        <v>63</v>
      </c>
      <c r="L176" s="20">
        <v>1</v>
      </c>
      <c r="M176" s="19">
        <v>1800</v>
      </c>
      <c r="N176" s="19">
        <v>0</v>
      </c>
      <c r="O176" s="19">
        <v>1800</v>
      </c>
      <c r="P176" s="19">
        <v>0</v>
      </c>
      <c r="Q176" s="19">
        <v>1800</v>
      </c>
      <c r="R176" s="19">
        <v>1475.39</v>
      </c>
      <c r="S176" s="19">
        <v>324.61</v>
      </c>
      <c r="T176" s="21">
        <f>IFERROR(Raw_Data!$S176/Raw_Data!$Q176,0)</f>
        <v>0.18033888888888891</v>
      </c>
      <c r="U176" s="19" t="s">
        <v>113</v>
      </c>
      <c r="V176" s="19" t="s">
        <v>34</v>
      </c>
      <c r="W176" s="19" t="s">
        <v>35</v>
      </c>
      <c r="X176" s="19" t="s">
        <v>36</v>
      </c>
    </row>
    <row r="177" spans="1:24" x14ac:dyDescent="0.35">
      <c r="A177" s="13" t="s">
        <v>249</v>
      </c>
      <c r="B177" s="14">
        <v>45893</v>
      </c>
      <c r="C177" s="4" t="s">
        <v>90</v>
      </c>
      <c r="D177" s="4" t="s">
        <v>91</v>
      </c>
      <c r="E177" s="4" t="s">
        <v>92</v>
      </c>
      <c r="F177" s="4" t="s">
        <v>60</v>
      </c>
      <c r="G177" s="4" t="s">
        <v>42</v>
      </c>
      <c r="H177" s="4" t="s">
        <v>61</v>
      </c>
      <c r="I177" s="4" t="s">
        <v>62</v>
      </c>
      <c r="J177" s="4" t="s">
        <v>45</v>
      </c>
      <c r="K177" s="4" t="s">
        <v>63</v>
      </c>
      <c r="L177" s="15">
        <v>5</v>
      </c>
      <c r="M177" s="4">
        <v>1800</v>
      </c>
      <c r="N177" s="4">
        <v>0.2</v>
      </c>
      <c r="O177" s="4">
        <v>9000</v>
      </c>
      <c r="P177" s="4">
        <v>1800</v>
      </c>
      <c r="Q177" s="4">
        <v>7200</v>
      </c>
      <c r="R177" s="4">
        <v>4192.24</v>
      </c>
      <c r="S177" s="4">
        <v>3007.76</v>
      </c>
      <c r="T177" s="16">
        <f>IFERROR(Raw_Data!$S177/Raw_Data!$Q177,0)</f>
        <v>0.41774444444444447</v>
      </c>
      <c r="U177" s="4" t="s">
        <v>113</v>
      </c>
      <c r="V177" s="4" t="s">
        <v>34</v>
      </c>
      <c r="W177" s="4" t="s">
        <v>48</v>
      </c>
      <c r="X177" s="4" t="s">
        <v>36</v>
      </c>
    </row>
    <row r="178" spans="1:24" x14ac:dyDescent="0.35">
      <c r="A178" s="17" t="s">
        <v>149</v>
      </c>
      <c r="B178" s="18">
        <v>45894</v>
      </c>
      <c r="C178" s="19" t="s">
        <v>105</v>
      </c>
      <c r="D178" s="19" t="s">
        <v>106</v>
      </c>
      <c r="E178" s="19" t="s">
        <v>107</v>
      </c>
      <c r="F178" s="19" t="s">
        <v>108</v>
      </c>
      <c r="G178" s="19" t="s">
        <v>28</v>
      </c>
      <c r="H178" s="19" t="s">
        <v>61</v>
      </c>
      <c r="I178" s="19" t="s">
        <v>62</v>
      </c>
      <c r="J178" s="19" t="s">
        <v>45</v>
      </c>
      <c r="K178" s="19" t="s">
        <v>63</v>
      </c>
      <c r="L178" s="20">
        <v>4</v>
      </c>
      <c r="M178" s="19">
        <v>1800</v>
      </c>
      <c r="N178" s="19">
        <v>0</v>
      </c>
      <c r="O178" s="19">
        <v>7200</v>
      </c>
      <c r="P178" s="19">
        <v>0</v>
      </c>
      <c r="Q178" s="19">
        <v>-7200</v>
      </c>
      <c r="R178" s="19">
        <v>4941.7299999999996</v>
      </c>
      <c r="S178" s="19">
        <v>-2258.27</v>
      </c>
      <c r="T178" s="21">
        <f>IFERROR(Raw_Data!$S178/Raw_Data!$Q178,0)</f>
        <v>0.31364861111111109</v>
      </c>
      <c r="U178" s="19" t="s">
        <v>54</v>
      </c>
      <c r="V178" s="19" t="s">
        <v>47</v>
      </c>
      <c r="W178" s="19" t="s">
        <v>35</v>
      </c>
      <c r="X178" s="19" t="s">
        <v>49</v>
      </c>
    </row>
    <row r="179" spans="1:24" x14ac:dyDescent="0.35">
      <c r="A179" s="13" t="s">
        <v>425</v>
      </c>
      <c r="B179" s="14">
        <v>45894</v>
      </c>
      <c r="C179" s="4" t="s">
        <v>51</v>
      </c>
      <c r="D179" s="4" t="s">
        <v>52</v>
      </c>
      <c r="E179" s="4" t="s">
        <v>53</v>
      </c>
      <c r="F179" s="4" t="s">
        <v>27</v>
      </c>
      <c r="G179" s="4" t="s">
        <v>28</v>
      </c>
      <c r="H179" s="4" t="s">
        <v>29</v>
      </c>
      <c r="I179" s="4" t="s">
        <v>30</v>
      </c>
      <c r="J179" s="4" t="s">
        <v>31</v>
      </c>
      <c r="K179" s="4" t="s">
        <v>32</v>
      </c>
      <c r="L179" s="15">
        <v>4</v>
      </c>
      <c r="M179" s="4">
        <v>78000</v>
      </c>
      <c r="N179" s="4">
        <v>0.1</v>
      </c>
      <c r="O179" s="4">
        <v>312000</v>
      </c>
      <c r="P179" s="4">
        <v>31200</v>
      </c>
      <c r="Q179" s="4">
        <v>0</v>
      </c>
      <c r="R179" s="4">
        <v>216621.62</v>
      </c>
      <c r="S179" s="4">
        <v>0</v>
      </c>
      <c r="T179" s="16">
        <f>IFERROR(Raw_Data!$S179/Raw_Data!$Q179,0)</f>
        <v>0</v>
      </c>
      <c r="U179" s="4" t="s">
        <v>54</v>
      </c>
      <c r="V179" s="4" t="s">
        <v>139</v>
      </c>
      <c r="W179" s="4" t="s">
        <v>55</v>
      </c>
      <c r="X179" s="4" t="s">
        <v>75</v>
      </c>
    </row>
    <row r="180" spans="1:24" x14ac:dyDescent="0.35">
      <c r="A180" s="17" t="s">
        <v>195</v>
      </c>
      <c r="B180" s="18">
        <v>45895</v>
      </c>
      <c r="C180" s="19" t="s">
        <v>90</v>
      </c>
      <c r="D180" s="19" t="s">
        <v>91</v>
      </c>
      <c r="E180" s="19" t="s">
        <v>92</v>
      </c>
      <c r="F180" s="19" t="s">
        <v>60</v>
      </c>
      <c r="G180" s="19" t="s">
        <v>42</v>
      </c>
      <c r="H180" s="19" t="s">
        <v>118</v>
      </c>
      <c r="I180" s="19" t="s">
        <v>119</v>
      </c>
      <c r="J180" s="19" t="s">
        <v>31</v>
      </c>
      <c r="K180" s="19" t="s">
        <v>120</v>
      </c>
      <c r="L180" s="20">
        <v>6</v>
      </c>
      <c r="M180" s="19">
        <v>14500</v>
      </c>
      <c r="N180" s="19">
        <v>0.1</v>
      </c>
      <c r="O180" s="19">
        <v>87000</v>
      </c>
      <c r="P180" s="19">
        <v>8700</v>
      </c>
      <c r="Q180" s="19">
        <v>0</v>
      </c>
      <c r="R180" s="19">
        <v>56926.96</v>
      </c>
      <c r="S180" s="19">
        <v>0</v>
      </c>
      <c r="T180" s="21">
        <f>IFERROR(Raw_Data!$S180/Raw_Data!$Q180,0)</f>
        <v>0</v>
      </c>
      <c r="U180" s="19" t="s">
        <v>33</v>
      </c>
      <c r="V180" s="19" t="s">
        <v>139</v>
      </c>
      <c r="W180" s="19" t="s">
        <v>55</v>
      </c>
      <c r="X180" s="19" t="s">
        <v>75</v>
      </c>
    </row>
    <row r="181" spans="1:24" x14ac:dyDescent="0.35">
      <c r="A181" s="13" t="s">
        <v>342</v>
      </c>
      <c r="B181" s="14">
        <v>45895</v>
      </c>
      <c r="C181" s="4" t="s">
        <v>142</v>
      </c>
      <c r="D181" s="4" t="s">
        <v>143</v>
      </c>
      <c r="E181" s="4" t="s">
        <v>144</v>
      </c>
      <c r="F181" s="4" t="s">
        <v>87</v>
      </c>
      <c r="G181" s="4" t="s">
        <v>28</v>
      </c>
      <c r="H181" s="4" t="s">
        <v>99</v>
      </c>
      <c r="I181" s="4" t="s">
        <v>100</v>
      </c>
      <c r="J181" s="4" t="s">
        <v>101</v>
      </c>
      <c r="K181" s="4" t="s">
        <v>102</v>
      </c>
      <c r="L181" s="15">
        <v>4</v>
      </c>
      <c r="M181" s="4">
        <v>12500</v>
      </c>
      <c r="N181" s="4">
        <v>0.05</v>
      </c>
      <c r="O181" s="4">
        <v>50000</v>
      </c>
      <c r="P181" s="4">
        <v>2500</v>
      </c>
      <c r="Q181" s="4">
        <v>47500</v>
      </c>
      <c r="R181" s="4">
        <v>34465.93</v>
      </c>
      <c r="S181" s="4">
        <v>13034.07</v>
      </c>
      <c r="T181" s="16">
        <f>IFERROR(Raw_Data!$S181/Raw_Data!$Q181,0)</f>
        <v>0.27440147368421053</v>
      </c>
      <c r="U181" s="4" t="s">
        <v>33</v>
      </c>
      <c r="V181" s="4" t="s">
        <v>64</v>
      </c>
      <c r="W181" s="4" t="s">
        <v>65</v>
      </c>
      <c r="X181" s="4" t="s">
        <v>36</v>
      </c>
    </row>
    <row r="182" spans="1:24" x14ac:dyDescent="0.35">
      <c r="A182" s="17" t="s">
        <v>368</v>
      </c>
      <c r="B182" s="18">
        <v>45897</v>
      </c>
      <c r="C182" s="19" t="s">
        <v>122</v>
      </c>
      <c r="D182" s="19" t="s">
        <v>123</v>
      </c>
      <c r="E182" s="19" t="s">
        <v>124</v>
      </c>
      <c r="F182" s="19" t="s">
        <v>87</v>
      </c>
      <c r="G182" s="19" t="s">
        <v>42</v>
      </c>
      <c r="H182" s="19" t="s">
        <v>110</v>
      </c>
      <c r="I182" s="19" t="s">
        <v>111</v>
      </c>
      <c r="J182" s="19" t="s">
        <v>101</v>
      </c>
      <c r="K182" s="19" t="s">
        <v>112</v>
      </c>
      <c r="L182" s="20">
        <v>5</v>
      </c>
      <c r="M182" s="19">
        <v>22000</v>
      </c>
      <c r="N182" s="19">
        <v>0</v>
      </c>
      <c r="O182" s="19">
        <v>110000</v>
      </c>
      <c r="P182" s="19">
        <v>0</v>
      </c>
      <c r="Q182" s="19">
        <v>110000</v>
      </c>
      <c r="R182" s="19">
        <v>85152.69</v>
      </c>
      <c r="S182" s="19">
        <v>24847.31</v>
      </c>
      <c r="T182" s="21">
        <f>IFERROR(Raw_Data!$S182/Raw_Data!$Q182,0)</f>
        <v>0.22588463636363637</v>
      </c>
      <c r="U182" s="19" t="s">
        <v>54</v>
      </c>
      <c r="V182" s="19" t="s">
        <v>34</v>
      </c>
      <c r="W182" s="19" t="s">
        <v>55</v>
      </c>
      <c r="X182" s="19" t="s">
        <v>36</v>
      </c>
    </row>
    <row r="183" spans="1:24" x14ac:dyDescent="0.35">
      <c r="A183" s="13" t="s">
        <v>221</v>
      </c>
      <c r="B183" s="14">
        <v>45898</v>
      </c>
      <c r="C183" s="4" t="s">
        <v>38</v>
      </c>
      <c r="D183" s="4" t="s">
        <v>39</v>
      </c>
      <c r="E183" s="4" t="s">
        <v>40</v>
      </c>
      <c r="F183" s="4" t="s">
        <v>41</v>
      </c>
      <c r="G183" s="4" t="s">
        <v>42</v>
      </c>
      <c r="H183" s="4" t="s">
        <v>61</v>
      </c>
      <c r="I183" s="4" t="s">
        <v>62</v>
      </c>
      <c r="J183" s="4" t="s">
        <v>45</v>
      </c>
      <c r="K183" s="4" t="s">
        <v>63</v>
      </c>
      <c r="L183" s="15">
        <v>8</v>
      </c>
      <c r="M183" s="4">
        <v>1800</v>
      </c>
      <c r="N183" s="4">
        <v>0.1</v>
      </c>
      <c r="O183" s="4">
        <v>14400</v>
      </c>
      <c r="P183" s="4">
        <v>1440</v>
      </c>
      <c r="Q183" s="4">
        <v>12960</v>
      </c>
      <c r="R183" s="4">
        <v>8576.5300000000007</v>
      </c>
      <c r="S183" s="4">
        <v>4383.47</v>
      </c>
      <c r="T183" s="16">
        <f>IFERROR(Raw_Data!$S183/Raw_Data!$Q183,0)</f>
        <v>0.33823070987654325</v>
      </c>
      <c r="U183" s="4" t="s">
        <v>113</v>
      </c>
      <c r="V183" s="4" t="s">
        <v>139</v>
      </c>
      <c r="W183" s="4" t="s">
        <v>35</v>
      </c>
      <c r="X183" s="4" t="s">
        <v>36</v>
      </c>
    </row>
    <row r="184" spans="1:24" x14ac:dyDescent="0.35">
      <c r="A184" s="17" t="s">
        <v>232</v>
      </c>
      <c r="B184" s="18">
        <v>45898</v>
      </c>
      <c r="C184" s="19" t="s">
        <v>127</v>
      </c>
      <c r="D184" s="19" t="s">
        <v>128</v>
      </c>
      <c r="E184" s="19" t="s">
        <v>129</v>
      </c>
      <c r="F184" s="19" t="s">
        <v>27</v>
      </c>
      <c r="G184" s="19" t="s">
        <v>28</v>
      </c>
      <c r="H184" s="19" t="s">
        <v>80</v>
      </c>
      <c r="I184" s="19" t="s">
        <v>81</v>
      </c>
      <c r="J184" s="19" t="s">
        <v>31</v>
      </c>
      <c r="K184" s="19" t="s">
        <v>82</v>
      </c>
      <c r="L184" s="20">
        <v>6</v>
      </c>
      <c r="M184" s="19">
        <v>62000</v>
      </c>
      <c r="N184" s="19">
        <v>0.1</v>
      </c>
      <c r="O184" s="19">
        <v>372000</v>
      </c>
      <c r="P184" s="19">
        <v>37200</v>
      </c>
      <c r="Q184" s="19">
        <v>0</v>
      </c>
      <c r="R184" s="19">
        <v>220966</v>
      </c>
      <c r="S184" s="19">
        <v>0</v>
      </c>
      <c r="T184" s="21">
        <f>IFERROR(Raw_Data!$S184/Raw_Data!$Q184,0)</f>
        <v>0</v>
      </c>
      <c r="U184" s="19" t="s">
        <v>54</v>
      </c>
      <c r="V184" s="19" t="s">
        <v>88</v>
      </c>
      <c r="W184" s="19" t="s">
        <v>65</v>
      </c>
      <c r="X184" s="19" t="s">
        <v>75</v>
      </c>
    </row>
    <row r="185" spans="1:24" x14ac:dyDescent="0.35">
      <c r="A185" s="13" t="s">
        <v>206</v>
      </c>
      <c r="B185" s="14">
        <v>45900</v>
      </c>
      <c r="C185" s="4" t="s">
        <v>77</v>
      </c>
      <c r="D185" s="4" t="s">
        <v>78</v>
      </c>
      <c r="E185" s="4" t="s">
        <v>79</v>
      </c>
      <c r="F185" s="4" t="s">
        <v>60</v>
      </c>
      <c r="G185" s="4" t="s">
        <v>28</v>
      </c>
      <c r="H185" s="4" t="s">
        <v>118</v>
      </c>
      <c r="I185" s="4" t="s">
        <v>119</v>
      </c>
      <c r="J185" s="4" t="s">
        <v>31</v>
      </c>
      <c r="K185" s="4" t="s">
        <v>120</v>
      </c>
      <c r="L185" s="15">
        <v>2</v>
      </c>
      <c r="M185" s="4">
        <v>14500</v>
      </c>
      <c r="N185" s="4">
        <v>0.15</v>
      </c>
      <c r="O185" s="4">
        <v>29000</v>
      </c>
      <c r="P185" s="4">
        <v>4350</v>
      </c>
      <c r="Q185" s="4">
        <v>24650</v>
      </c>
      <c r="R185" s="4">
        <v>19903.93</v>
      </c>
      <c r="S185" s="4">
        <v>4746.07</v>
      </c>
      <c r="T185" s="16">
        <f>IFERROR(Raw_Data!$S185/Raw_Data!$Q185,0)</f>
        <v>0.19253833671399592</v>
      </c>
      <c r="U185" s="4" t="s">
        <v>33</v>
      </c>
      <c r="V185" s="4" t="s">
        <v>64</v>
      </c>
      <c r="W185" s="4" t="s">
        <v>65</v>
      </c>
      <c r="X185" s="4" t="s">
        <v>36</v>
      </c>
    </row>
    <row r="186" spans="1:24" x14ac:dyDescent="0.35">
      <c r="A186" s="17" t="s">
        <v>296</v>
      </c>
      <c r="B186" s="18">
        <v>45901</v>
      </c>
      <c r="C186" s="19" t="s">
        <v>57</v>
      </c>
      <c r="D186" s="19" t="s">
        <v>58</v>
      </c>
      <c r="E186" s="19" t="s">
        <v>59</v>
      </c>
      <c r="F186" s="19" t="s">
        <v>60</v>
      </c>
      <c r="G186" s="19" t="s">
        <v>42</v>
      </c>
      <c r="H186" s="19" t="s">
        <v>162</v>
      </c>
      <c r="I186" s="19" t="s">
        <v>163</v>
      </c>
      <c r="J186" s="19" t="s">
        <v>31</v>
      </c>
      <c r="K186" s="19" t="s">
        <v>164</v>
      </c>
      <c r="L186" s="20">
        <v>3</v>
      </c>
      <c r="M186" s="19">
        <v>16500</v>
      </c>
      <c r="N186" s="19">
        <v>0</v>
      </c>
      <c r="O186" s="19">
        <v>49500</v>
      </c>
      <c r="P186" s="19">
        <v>0</v>
      </c>
      <c r="Q186" s="19">
        <v>49500</v>
      </c>
      <c r="R186" s="19">
        <v>34062.21</v>
      </c>
      <c r="S186" s="19">
        <v>15437.79</v>
      </c>
      <c r="T186" s="21">
        <f>IFERROR(Raw_Data!$S186/Raw_Data!$Q186,0)</f>
        <v>0.31187454545454546</v>
      </c>
      <c r="U186" s="19" t="s">
        <v>33</v>
      </c>
      <c r="V186" s="19" t="s">
        <v>47</v>
      </c>
      <c r="W186" s="19" t="s">
        <v>48</v>
      </c>
      <c r="X186" s="19" t="s">
        <v>36</v>
      </c>
    </row>
    <row r="187" spans="1:24" x14ac:dyDescent="0.35">
      <c r="A187" s="13" t="s">
        <v>409</v>
      </c>
      <c r="B187" s="14">
        <v>45901</v>
      </c>
      <c r="C187" s="4" t="s">
        <v>84</v>
      </c>
      <c r="D187" s="4" t="s">
        <v>85</v>
      </c>
      <c r="E187" s="4" t="s">
        <v>86</v>
      </c>
      <c r="F187" s="4" t="s">
        <v>87</v>
      </c>
      <c r="G187" s="4" t="s">
        <v>42</v>
      </c>
      <c r="H187" s="4" t="s">
        <v>162</v>
      </c>
      <c r="I187" s="4" t="s">
        <v>163</v>
      </c>
      <c r="J187" s="4" t="s">
        <v>31</v>
      </c>
      <c r="K187" s="4" t="s">
        <v>164</v>
      </c>
      <c r="L187" s="15">
        <v>5</v>
      </c>
      <c r="M187" s="4">
        <v>16500</v>
      </c>
      <c r="N187" s="4">
        <v>0</v>
      </c>
      <c r="O187" s="4">
        <v>82500</v>
      </c>
      <c r="P187" s="4">
        <v>0</v>
      </c>
      <c r="Q187" s="4">
        <v>0</v>
      </c>
      <c r="R187" s="4">
        <v>66148.350000000006</v>
      </c>
      <c r="S187" s="4">
        <v>0</v>
      </c>
      <c r="T187" s="16">
        <f>IFERROR(Raw_Data!$S187/Raw_Data!$Q187,0)</f>
        <v>0</v>
      </c>
      <c r="U187" s="4" t="s">
        <v>113</v>
      </c>
      <c r="V187" s="4" t="s">
        <v>70</v>
      </c>
      <c r="W187" s="4" t="s">
        <v>35</v>
      </c>
      <c r="X187" s="4" t="s">
        <v>75</v>
      </c>
    </row>
    <row r="188" spans="1:24" x14ac:dyDescent="0.35">
      <c r="A188" s="17" t="s">
        <v>365</v>
      </c>
      <c r="B188" s="18">
        <v>45902</v>
      </c>
      <c r="C188" s="19" t="s">
        <v>142</v>
      </c>
      <c r="D188" s="19" t="s">
        <v>143</v>
      </c>
      <c r="E188" s="19" t="s">
        <v>144</v>
      </c>
      <c r="F188" s="19" t="s">
        <v>87</v>
      </c>
      <c r="G188" s="19" t="s">
        <v>28</v>
      </c>
      <c r="H188" s="19" t="s">
        <v>99</v>
      </c>
      <c r="I188" s="19" t="s">
        <v>100</v>
      </c>
      <c r="J188" s="19" t="s">
        <v>101</v>
      </c>
      <c r="K188" s="19" t="s">
        <v>102</v>
      </c>
      <c r="L188" s="20">
        <v>4</v>
      </c>
      <c r="M188" s="19">
        <v>12500</v>
      </c>
      <c r="N188" s="19">
        <v>0.05</v>
      </c>
      <c r="O188" s="19">
        <v>50000</v>
      </c>
      <c r="P188" s="19">
        <v>2500</v>
      </c>
      <c r="Q188" s="19">
        <v>0</v>
      </c>
      <c r="R188" s="19">
        <v>31211.31</v>
      </c>
      <c r="S188" s="19">
        <v>0</v>
      </c>
      <c r="T188" s="21">
        <f>IFERROR(Raw_Data!$S188/Raw_Data!$Q188,0)</f>
        <v>0</v>
      </c>
      <c r="U188" s="19" t="s">
        <v>54</v>
      </c>
      <c r="V188" s="19" t="s">
        <v>47</v>
      </c>
      <c r="W188" s="19" t="s">
        <v>48</v>
      </c>
      <c r="X188" s="19" t="s">
        <v>75</v>
      </c>
    </row>
    <row r="189" spans="1:24" x14ac:dyDescent="0.35">
      <c r="A189" s="13" t="s">
        <v>374</v>
      </c>
      <c r="B189" s="14">
        <v>45902</v>
      </c>
      <c r="C189" s="4" t="s">
        <v>77</v>
      </c>
      <c r="D189" s="4" t="s">
        <v>78</v>
      </c>
      <c r="E189" s="4" t="s">
        <v>79</v>
      </c>
      <c r="F189" s="4" t="s">
        <v>60</v>
      </c>
      <c r="G189" s="4" t="s">
        <v>28</v>
      </c>
      <c r="H189" s="4" t="s">
        <v>118</v>
      </c>
      <c r="I189" s="4" t="s">
        <v>119</v>
      </c>
      <c r="J189" s="4" t="s">
        <v>31</v>
      </c>
      <c r="K189" s="4" t="s">
        <v>120</v>
      </c>
      <c r="L189" s="15">
        <v>3</v>
      </c>
      <c r="M189" s="4">
        <v>14500</v>
      </c>
      <c r="N189" s="4">
        <v>0.1</v>
      </c>
      <c r="O189" s="4">
        <v>43500</v>
      </c>
      <c r="P189" s="4">
        <v>4350</v>
      </c>
      <c r="Q189" s="4">
        <v>-39150</v>
      </c>
      <c r="R189" s="4">
        <v>29732.720000000001</v>
      </c>
      <c r="S189" s="4">
        <v>-9417.2800000000007</v>
      </c>
      <c r="T189" s="16">
        <f>IFERROR(Raw_Data!$S189/Raw_Data!$Q189,0)</f>
        <v>0.24054355044699874</v>
      </c>
      <c r="U189" s="4" t="s">
        <v>113</v>
      </c>
      <c r="V189" s="4" t="s">
        <v>139</v>
      </c>
      <c r="W189" s="4" t="s">
        <v>55</v>
      </c>
      <c r="X189" s="4" t="s">
        <v>49</v>
      </c>
    </row>
    <row r="190" spans="1:24" x14ac:dyDescent="0.35">
      <c r="A190" s="17" t="s">
        <v>256</v>
      </c>
      <c r="B190" s="18">
        <v>45904</v>
      </c>
      <c r="C190" s="19" t="s">
        <v>105</v>
      </c>
      <c r="D190" s="19" t="s">
        <v>106</v>
      </c>
      <c r="E190" s="19" t="s">
        <v>107</v>
      </c>
      <c r="F190" s="19" t="s">
        <v>108</v>
      </c>
      <c r="G190" s="19" t="s">
        <v>28</v>
      </c>
      <c r="H190" s="19" t="s">
        <v>61</v>
      </c>
      <c r="I190" s="19" t="s">
        <v>62</v>
      </c>
      <c r="J190" s="19" t="s">
        <v>45</v>
      </c>
      <c r="K190" s="19" t="s">
        <v>63</v>
      </c>
      <c r="L190" s="20">
        <v>5</v>
      </c>
      <c r="M190" s="19">
        <v>1800</v>
      </c>
      <c r="N190" s="19">
        <v>0.2</v>
      </c>
      <c r="O190" s="19">
        <v>9000</v>
      </c>
      <c r="P190" s="19">
        <v>1800</v>
      </c>
      <c r="Q190" s="19">
        <v>7200</v>
      </c>
      <c r="R190" s="19">
        <v>5680.05</v>
      </c>
      <c r="S190" s="19">
        <v>1519.95</v>
      </c>
      <c r="T190" s="21">
        <f>IFERROR(Raw_Data!$S190/Raw_Data!$Q190,0)</f>
        <v>0.21110416666666668</v>
      </c>
      <c r="U190" s="19" t="s">
        <v>113</v>
      </c>
      <c r="V190" s="19" t="s">
        <v>47</v>
      </c>
      <c r="W190" s="19" t="s">
        <v>48</v>
      </c>
      <c r="X190" s="19" t="s">
        <v>36</v>
      </c>
    </row>
    <row r="191" spans="1:24" x14ac:dyDescent="0.35">
      <c r="A191" s="13" t="s">
        <v>251</v>
      </c>
      <c r="B191" s="14">
        <v>45905</v>
      </c>
      <c r="C191" s="4" t="s">
        <v>84</v>
      </c>
      <c r="D191" s="4" t="s">
        <v>85</v>
      </c>
      <c r="E191" s="4" t="s">
        <v>86</v>
      </c>
      <c r="F191" s="4" t="s">
        <v>87</v>
      </c>
      <c r="G191" s="4" t="s">
        <v>42</v>
      </c>
      <c r="H191" s="4" t="s">
        <v>43</v>
      </c>
      <c r="I191" s="4" t="s">
        <v>44</v>
      </c>
      <c r="J191" s="4" t="s">
        <v>45</v>
      </c>
      <c r="K191" s="4" t="s">
        <v>46</v>
      </c>
      <c r="L191" s="15">
        <v>2</v>
      </c>
      <c r="M191" s="4">
        <v>8900</v>
      </c>
      <c r="N191" s="4">
        <v>0</v>
      </c>
      <c r="O191" s="4">
        <v>17800</v>
      </c>
      <c r="P191" s="4">
        <v>0</v>
      </c>
      <c r="Q191" s="4">
        <v>17800</v>
      </c>
      <c r="R191" s="4">
        <v>11953.19</v>
      </c>
      <c r="S191" s="4">
        <v>5846.81</v>
      </c>
      <c r="T191" s="16">
        <f>IFERROR(Raw_Data!$S191/Raw_Data!$Q191,0)</f>
        <v>0.32847247191011236</v>
      </c>
      <c r="U191" s="4" t="s">
        <v>33</v>
      </c>
      <c r="V191" s="4" t="s">
        <v>64</v>
      </c>
      <c r="W191" s="4" t="s">
        <v>65</v>
      </c>
      <c r="X191" s="4" t="s">
        <v>36</v>
      </c>
    </row>
    <row r="192" spans="1:24" x14ac:dyDescent="0.35">
      <c r="A192" s="17" t="s">
        <v>431</v>
      </c>
      <c r="B192" s="18">
        <v>45905</v>
      </c>
      <c r="C192" s="19" t="s">
        <v>176</v>
      </c>
      <c r="D192" s="19" t="s">
        <v>177</v>
      </c>
      <c r="E192" s="19" t="s">
        <v>178</v>
      </c>
      <c r="F192" s="19" t="s">
        <v>108</v>
      </c>
      <c r="G192" s="19" t="s">
        <v>28</v>
      </c>
      <c r="H192" s="19" t="s">
        <v>29</v>
      </c>
      <c r="I192" s="19" t="s">
        <v>30</v>
      </c>
      <c r="J192" s="19" t="s">
        <v>31</v>
      </c>
      <c r="K192" s="19" t="s">
        <v>32</v>
      </c>
      <c r="L192" s="20">
        <v>2</v>
      </c>
      <c r="M192" s="19">
        <v>78000</v>
      </c>
      <c r="N192" s="19">
        <v>0.05</v>
      </c>
      <c r="O192" s="19">
        <v>156000</v>
      </c>
      <c r="P192" s="19">
        <v>7800</v>
      </c>
      <c r="Q192" s="19">
        <v>148200</v>
      </c>
      <c r="R192" s="19">
        <v>100751.41</v>
      </c>
      <c r="S192" s="19">
        <v>47448.59</v>
      </c>
      <c r="T192" s="21">
        <f>IFERROR(Raw_Data!$S192/Raw_Data!$Q192,0)</f>
        <v>0.3201659244264507</v>
      </c>
      <c r="U192" s="19" t="s">
        <v>54</v>
      </c>
      <c r="V192" s="19" t="s">
        <v>34</v>
      </c>
      <c r="W192" s="19" t="s">
        <v>48</v>
      </c>
      <c r="X192" s="19" t="s">
        <v>36</v>
      </c>
    </row>
    <row r="193" spans="1:24" x14ac:dyDescent="0.35">
      <c r="A193" s="13" t="s">
        <v>284</v>
      </c>
      <c r="B193" s="14">
        <v>45907</v>
      </c>
      <c r="C193" s="4" t="s">
        <v>131</v>
      </c>
      <c r="D193" s="4" t="s">
        <v>132</v>
      </c>
      <c r="E193" s="4" t="s">
        <v>133</v>
      </c>
      <c r="F193" s="4" t="s">
        <v>27</v>
      </c>
      <c r="G193" s="4" t="s">
        <v>28</v>
      </c>
      <c r="H193" s="4" t="s">
        <v>162</v>
      </c>
      <c r="I193" s="4" t="s">
        <v>163</v>
      </c>
      <c r="J193" s="4" t="s">
        <v>31</v>
      </c>
      <c r="K193" s="4" t="s">
        <v>164</v>
      </c>
      <c r="L193" s="15">
        <v>5</v>
      </c>
      <c r="M193" s="4">
        <v>16500</v>
      </c>
      <c r="N193" s="4">
        <v>0</v>
      </c>
      <c r="O193" s="4">
        <v>82500</v>
      </c>
      <c r="P193" s="4">
        <v>0</v>
      </c>
      <c r="Q193" s="4">
        <v>-82500</v>
      </c>
      <c r="R193" s="4">
        <v>52216.27</v>
      </c>
      <c r="S193" s="4">
        <v>-30283.73</v>
      </c>
      <c r="T193" s="16">
        <f>IFERROR(Raw_Data!$S193/Raw_Data!$Q193,0)</f>
        <v>0.36707551515151515</v>
      </c>
      <c r="U193" s="4" t="s">
        <v>54</v>
      </c>
      <c r="V193" s="4" t="s">
        <v>47</v>
      </c>
      <c r="W193" s="4" t="s">
        <v>48</v>
      </c>
      <c r="X193" s="4" t="s">
        <v>49</v>
      </c>
    </row>
    <row r="194" spans="1:24" x14ac:dyDescent="0.35">
      <c r="A194" s="17" t="s">
        <v>210</v>
      </c>
      <c r="B194" s="18">
        <v>45908</v>
      </c>
      <c r="C194" s="19" t="s">
        <v>155</v>
      </c>
      <c r="D194" s="19" t="s">
        <v>156</v>
      </c>
      <c r="E194" s="19" t="s">
        <v>157</v>
      </c>
      <c r="F194" s="19" t="s">
        <v>60</v>
      </c>
      <c r="G194" s="19" t="s">
        <v>97</v>
      </c>
      <c r="H194" s="19" t="s">
        <v>43</v>
      </c>
      <c r="I194" s="19" t="s">
        <v>44</v>
      </c>
      <c r="J194" s="19" t="s">
        <v>45</v>
      </c>
      <c r="K194" s="19" t="s">
        <v>46</v>
      </c>
      <c r="L194" s="20">
        <v>2</v>
      </c>
      <c r="M194" s="19">
        <v>8900</v>
      </c>
      <c r="N194" s="19">
        <v>0.1</v>
      </c>
      <c r="O194" s="19">
        <v>17800</v>
      </c>
      <c r="P194" s="19">
        <v>1780</v>
      </c>
      <c r="Q194" s="19">
        <v>0</v>
      </c>
      <c r="R194" s="19">
        <v>12985.64</v>
      </c>
      <c r="S194" s="19">
        <v>0</v>
      </c>
      <c r="T194" s="21">
        <f>IFERROR(Raw_Data!$S194/Raw_Data!$Q194,0)</f>
        <v>0</v>
      </c>
      <c r="U194" s="19" t="s">
        <v>113</v>
      </c>
      <c r="V194" s="19" t="s">
        <v>34</v>
      </c>
      <c r="W194" s="19" t="s">
        <v>48</v>
      </c>
      <c r="X194" s="19" t="s">
        <v>75</v>
      </c>
    </row>
    <row r="195" spans="1:24" x14ac:dyDescent="0.35">
      <c r="A195" s="13" t="s">
        <v>222</v>
      </c>
      <c r="B195" s="14">
        <v>45909</v>
      </c>
      <c r="C195" s="4" t="s">
        <v>135</v>
      </c>
      <c r="D195" s="4" t="s">
        <v>136</v>
      </c>
      <c r="E195" s="4" t="s">
        <v>137</v>
      </c>
      <c r="F195" s="4" t="s">
        <v>27</v>
      </c>
      <c r="G195" s="4" t="s">
        <v>97</v>
      </c>
      <c r="H195" s="4" t="s">
        <v>43</v>
      </c>
      <c r="I195" s="4" t="s">
        <v>44</v>
      </c>
      <c r="J195" s="4" t="s">
        <v>45</v>
      </c>
      <c r="K195" s="4" t="s">
        <v>46</v>
      </c>
      <c r="L195" s="15">
        <v>2</v>
      </c>
      <c r="M195" s="4">
        <v>8900</v>
      </c>
      <c r="N195" s="4">
        <v>0.15</v>
      </c>
      <c r="O195" s="4">
        <v>17800</v>
      </c>
      <c r="P195" s="4">
        <v>2670</v>
      </c>
      <c r="Q195" s="4">
        <v>15130</v>
      </c>
      <c r="R195" s="4">
        <v>11061.04</v>
      </c>
      <c r="S195" s="4">
        <v>4068.96</v>
      </c>
      <c r="T195" s="16">
        <f>IFERROR(Raw_Data!$S195/Raw_Data!$Q195,0)</f>
        <v>0.26893324520819561</v>
      </c>
      <c r="U195" s="4" t="s">
        <v>54</v>
      </c>
      <c r="V195" s="4" t="s">
        <v>88</v>
      </c>
      <c r="W195" s="4" t="s">
        <v>65</v>
      </c>
      <c r="X195" s="4" t="s">
        <v>36</v>
      </c>
    </row>
    <row r="196" spans="1:24" x14ac:dyDescent="0.35">
      <c r="A196" s="17" t="s">
        <v>213</v>
      </c>
      <c r="B196" s="18">
        <v>45911</v>
      </c>
      <c r="C196" s="19" t="s">
        <v>57</v>
      </c>
      <c r="D196" s="19" t="s">
        <v>58</v>
      </c>
      <c r="E196" s="19" t="s">
        <v>59</v>
      </c>
      <c r="F196" s="19" t="s">
        <v>60</v>
      </c>
      <c r="G196" s="19" t="s">
        <v>42</v>
      </c>
      <c r="H196" s="19" t="s">
        <v>29</v>
      </c>
      <c r="I196" s="19" t="s">
        <v>30</v>
      </c>
      <c r="J196" s="19" t="s">
        <v>31</v>
      </c>
      <c r="K196" s="19" t="s">
        <v>32</v>
      </c>
      <c r="L196" s="20">
        <v>6</v>
      </c>
      <c r="M196" s="19">
        <v>78000</v>
      </c>
      <c r="N196" s="19">
        <v>0</v>
      </c>
      <c r="O196" s="19">
        <v>468000</v>
      </c>
      <c r="P196" s="19">
        <v>0</v>
      </c>
      <c r="Q196" s="19">
        <v>468000</v>
      </c>
      <c r="R196" s="19">
        <v>326201.61</v>
      </c>
      <c r="S196" s="19">
        <v>141798.39000000001</v>
      </c>
      <c r="T196" s="21">
        <f>IFERROR(Raw_Data!$S196/Raw_Data!$Q196,0)</f>
        <v>0.30298801282051285</v>
      </c>
      <c r="U196" s="19" t="s">
        <v>113</v>
      </c>
      <c r="V196" s="19" t="s">
        <v>64</v>
      </c>
      <c r="W196" s="19" t="s">
        <v>65</v>
      </c>
      <c r="X196" s="19" t="s">
        <v>36</v>
      </c>
    </row>
    <row r="197" spans="1:24" x14ac:dyDescent="0.35">
      <c r="A197" s="13" t="s">
        <v>322</v>
      </c>
      <c r="B197" s="14">
        <v>45912</v>
      </c>
      <c r="C197" s="4" t="s">
        <v>57</v>
      </c>
      <c r="D197" s="4" t="s">
        <v>58</v>
      </c>
      <c r="E197" s="4" t="s">
        <v>59</v>
      </c>
      <c r="F197" s="4" t="s">
        <v>60</v>
      </c>
      <c r="G197" s="4" t="s">
        <v>42</v>
      </c>
      <c r="H197" s="4" t="s">
        <v>118</v>
      </c>
      <c r="I197" s="4" t="s">
        <v>119</v>
      </c>
      <c r="J197" s="4" t="s">
        <v>31</v>
      </c>
      <c r="K197" s="4" t="s">
        <v>120</v>
      </c>
      <c r="L197" s="15">
        <v>8</v>
      </c>
      <c r="M197" s="4">
        <v>14500</v>
      </c>
      <c r="N197" s="4">
        <v>0.05</v>
      </c>
      <c r="O197" s="4">
        <v>116000</v>
      </c>
      <c r="P197" s="4">
        <v>5800</v>
      </c>
      <c r="Q197" s="4">
        <v>-110200</v>
      </c>
      <c r="R197" s="4">
        <v>88362.16</v>
      </c>
      <c r="S197" s="4">
        <v>-21837.84</v>
      </c>
      <c r="T197" s="16">
        <f>IFERROR(Raw_Data!$S197/Raw_Data!$Q197,0)</f>
        <v>0.19816551724137932</v>
      </c>
      <c r="U197" s="4" t="s">
        <v>113</v>
      </c>
      <c r="V197" s="4" t="s">
        <v>47</v>
      </c>
      <c r="W197" s="4" t="s">
        <v>55</v>
      </c>
      <c r="X197" s="4" t="s">
        <v>49</v>
      </c>
    </row>
    <row r="198" spans="1:24" x14ac:dyDescent="0.35">
      <c r="A198" s="17" t="s">
        <v>314</v>
      </c>
      <c r="B198" s="18">
        <v>45913</v>
      </c>
      <c r="C198" s="19" t="s">
        <v>135</v>
      </c>
      <c r="D198" s="19" t="s">
        <v>136</v>
      </c>
      <c r="E198" s="19" t="s">
        <v>137</v>
      </c>
      <c r="F198" s="19" t="s">
        <v>27</v>
      </c>
      <c r="G198" s="19" t="s">
        <v>97</v>
      </c>
      <c r="H198" s="19" t="s">
        <v>80</v>
      </c>
      <c r="I198" s="19" t="s">
        <v>81</v>
      </c>
      <c r="J198" s="19" t="s">
        <v>31</v>
      </c>
      <c r="K198" s="19" t="s">
        <v>82</v>
      </c>
      <c r="L198" s="20">
        <v>1</v>
      </c>
      <c r="M198" s="19">
        <v>62000</v>
      </c>
      <c r="N198" s="19">
        <v>0.2</v>
      </c>
      <c r="O198" s="19">
        <v>62000</v>
      </c>
      <c r="P198" s="19">
        <v>12400</v>
      </c>
      <c r="Q198" s="19">
        <v>49600</v>
      </c>
      <c r="R198" s="19">
        <v>34903.03</v>
      </c>
      <c r="S198" s="19">
        <v>14696.97</v>
      </c>
      <c r="T198" s="21">
        <f>IFERROR(Raw_Data!$S198/Raw_Data!$Q198,0)</f>
        <v>0.29630987903225803</v>
      </c>
      <c r="U198" s="19" t="s">
        <v>33</v>
      </c>
      <c r="V198" s="19" t="s">
        <v>88</v>
      </c>
      <c r="W198" s="19" t="s">
        <v>65</v>
      </c>
      <c r="X198" s="19" t="s">
        <v>36</v>
      </c>
    </row>
    <row r="199" spans="1:24" x14ac:dyDescent="0.35">
      <c r="A199" s="13" t="s">
        <v>357</v>
      </c>
      <c r="B199" s="14">
        <v>45914</v>
      </c>
      <c r="C199" s="4" t="s">
        <v>84</v>
      </c>
      <c r="D199" s="4" t="s">
        <v>85</v>
      </c>
      <c r="E199" s="4" t="s">
        <v>86</v>
      </c>
      <c r="F199" s="4" t="s">
        <v>87</v>
      </c>
      <c r="G199" s="4" t="s">
        <v>42</v>
      </c>
      <c r="H199" s="4" t="s">
        <v>43</v>
      </c>
      <c r="I199" s="4" t="s">
        <v>44</v>
      </c>
      <c r="J199" s="4" t="s">
        <v>45</v>
      </c>
      <c r="K199" s="4" t="s">
        <v>46</v>
      </c>
      <c r="L199" s="15">
        <v>8</v>
      </c>
      <c r="M199" s="4">
        <v>8900</v>
      </c>
      <c r="N199" s="4">
        <v>0.2</v>
      </c>
      <c r="O199" s="4">
        <v>71200</v>
      </c>
      <c r="P199" s="4">
        <v>14240</v>
      </c>
      <c r="Q199" s="4">
        <v>0</v>
      </c>
      <c r="R199" s="4">
        <v>42980.68</v>
      </c>
      <c r="S199" s="4">
        <v>0</v>
      </c>
      <c r="T199" s="16">
        <f>IFERROR(Raw_Data!$S199/Raw_Data!$Q199,0)</f>
        <v>0</v>
      </c>
      <c r="U199" s="4" t="s">
        <v>54</v>
      </c>
      <c r="V199" s="4" t="s">
        <v>70</v>
      </c>
      <c r="W199" s="4" t="s">
        <v>48</v>
      </c>
      <c r="X199" s="4" t="s">
        <v>75</v>
      </c>
    </row>
    <row r="200" spans="1:24" x14ac:dyDescent="0.35">
      <c r="A200" s="17" t="s">
        <v>336</v>
      </c>
      <c r="B200" s="18">
        <v>45915</v>
      </c>
      <c r="C200" s="19" t="s">
        <v>122</v>
      </c>
      <c r="D200" s="19" t="s">
        <v>123</v>
      </c>
      <c r="E200" s="19" t="s">
        <v>124</v>
      </c>
      <c r="F200" s="19" t="s">
        <v>87</v>
      </c>
      <c r="G200" s="19" t="s">
        <v>42</v>
      </c>
      <c r="H200" s="19" t="s">
        <v>43</v>
      </c>
      <c r="I200" s="19" t="s">
        <v>44</v>
      </c>
      <c r="J200" s="19" t="s">
        <v>45</v>
      </c>
      <c r="K200" s="19" t="s">
        <v>46</v>
      </c>
      <c r="L200" s="20">
        <v>1</v>
      </c>
      <c r="M200" s="19">
        <v>8900</v>
      </c>
      <c r="N200" s="19">
        <v>0</v>
      </c>
      <c r="O200" s="19">
        <v>8900</v>
      </c>
      <c r="P200" s="19">
        <v>0</v>
      </c>
      <c r="Q200" s="19">
        <v>8900</v>
      </c>
      <c r="R200" s="19">
        <v>6268.67</v>
      </c>
      <c r="S200" s="19">
        <v>2631.33</v>
      </c>
      <c r="T200" s="21">
        <f>IFERROR(Raw_Data!$S200/Raw_Data!$Q200,0)</f>
        <v>0.29565505617977528</v>
      </c>
      <c r="U200" s="19" t="s">
        <v>54</v>
      </c>
      <c r="V200" s="19" t="s">
        <v>88</v>
      </c>
      <c r="W200" s="19" t="s">
        <v>65</v>
      </c>
      <c r="X200" s="19" t="s">
        <v>36</v>
      </c>
    </row>
    <row r="201" spans="1:24" x14ac:dyDescent="0.35">
      <c r="A201" s="13" t="s">
        <v>349</v>
      </c>
      <c r="B201" s="14">
        <v>45916</v>
      </c>
      <c r="C201" s="4" t="s">
        <v>135</v>
      </c>
      <c r="D201" s="4" t="s">
        <v>136</v>
      </c>
      <c r="E201" s="4" t="s">
        <v>137</v>
      </c>
      <c r="F201" s="4" t="s">
        <v>27</v>
      </c>
      <c r="G201" s="4" t="s">
        <v>97</v>
      </c>
      <c r="H201" s="4" t="s">
        <v>43</v>
      </c>
      <c r="I201" s="4" t="s">
        <v>44</v>
      </c>
      <c r="J201" s="4" t="s">
        <v>45</v>
      </c>
      <c r="K201" s="4" t="s">
        <v>46</v>
      </c>
      <c r="L201" s="15">
        <v>8</v>
      </c>
      <c r="M201" s="4">
        <v>8900</v>
      </c>
      <c r="N201" s="4">
        <v>0.15</v>
      </c>
      <c r="O201" s="4">
        <v>71200</v>
      </c>
      <c r="P201" s="4">
        <v>10680</v>
      </c>
      <c r="Q201" s="4">
        <v>-60520</v>
      </c>
      <c r="R201" s="4">
        <v>39164.49</v>
      </c>
      <c r="S201" s="4">
        <v>-21355.51</v>
      </c>
      <c r="T201" s="16">
        <f>IFERROR(Raw_Data!$S201/Raw_Data!$Q201,0)</f>
        <v>0.35286698612029077</v>
      </c>
      <c r="U201" s="4" t="s">
        <v>33</v>
      </c>
      <c r="V201" s="4" t="s">
        <v>70</v>
      </c>
      <c r="W201" s="4" t="s">
        <v>35</v>
      </c>
      <c r="X201" s="4" t="s">
        <v>49</v>
      </c>
    </row>
    <row r="202" spans="1:24" x14ac:dyDescent="0.35">
      <c r="A202" s="17" t="s">
        <v>376</v>
      </c>
      <c r="B202" s="18">
        <v>45916</v>
      </c>
      <c r="C202" s="19" t="s">
        <v>146</v>
      </c>
      <c r="D202" s="19" t="s">
        <v>147</v>
      </c>
      <c r="E202" s="19" t="s">
        <v>148</v>
      </c>
      <c r="F202" s="19" t="s">
        <v>87</v>
      </c>
      <c r="G202" s="19" t="s">
        <v>28</v>
      </c>
      <c r="H202" s="19" t="s">
        <v>110</v>
      </c>
      <c r="I202" s="19" t="s">
        <v>111</v>
      </c>
      <c r="J202" s="19" t="s">
        <v>101</v>
      </c>
      <c r="K202" s="19" t="s">
        <v>112</v>
      </c>
      <c r="L202" s="20">
        <v>4</v>
      </c>
      <c r="M202" s="19">
        <v>22000</v>
      </c>
      <c r="N202" s="19">
        <v>0.15</v>
      </c>
      <c r="O202" s="19">
        <v>88000</v>
      </c>
      <c r="P202" s="19">
        <v>13200</v>
      </c>
      <c r="Q202" s="19">
        <v>74800</v>
      </c>
      <c r="R202" s="19">
        <v>53018.12</v>
      </c>
      <c r="S202" s="19">
        <v>21781.88</v>
      </c>
      <c r="T202" s="21">
        <f>IFERROR(Raw_Data!$S202/Raw_Data!$Q202,0)</f>
        <v>0.2912016042780749</v>
      </c>
      <c r="U202" s="19" t="s">
        <v>113</v>
      </c>
      <c r="V202" s="19" t="s">
        <v>70</v>
      </c>
      <c r="W202" s="19" t="s">
        <v>55</v>
      </c>
      <c r="X202" s="19" t="s">
        <v>36</v>
      </c>
    </row>
    <row r="203" spans="1:24" x14ac:dyDescent="0.35">
      <c r="A203" s="13" t="s">
        <v>402</v>
      </c>
      <c r="B203" s="14">
        <v>45916</v>
      </c>
      <c r="C203" s="4" t="s">
        <v>155</v>
      </c>
      <c r="D203" s="4" t="s">
        <v>156</v>
      </c>
      <c r="E203" s="4" t="s">
        <v>157</v>
      </c>
      <c r="F203" s="4" t="s">
        <v>60</v>
      </c>
      <c r="G203" s="4" t="s">
        <v>97</v>
      </c>
      <c r="H203" s="4" t="s">
        <v>151</v>
      </c>
      <c r="I203" s="4" t="s">
        <v>152</v>
      </c>
      <c r="J203" s="4" t="s">
        <v>45</v>
      </c>
      <c r="K203" s="4" t="s">
        <v>153</v>
      </c>
      <c r="L203" s="15">
        <v>8</v>
      </c>
      <c r="M203" s="4">
        <v>3200</v>
      </c>
      <c r="N203" s="4">
        <v>0.05</v>
      </c>
      <c r="O203" s="4">
        <v>25600</v>
      </c>
      <c r="P203" s="4">
        <v>1280</v>
      </c>
      <c r="Q203" s="4">
        <v>0</v>
      </c>
      <c r="R203" s="4">
        <v>14458.44</v>
      </c>
      <c r="S203" s="4">
        <v>0</v>
      </c>
      <c r="T203" s="16">
        <f>IFERROR(Raw_Data!$S203/Raw_Data!$Q203,0)</f>
        <v>0</v>
      </c>
      <c r="U203" s="4" t="s">
        <v>33</v>
      </c>
      <c r="V203" s="4" t="s">
        <v>70</v>
      </c>
      <c r="W203" s="4" t="s">
        <v>55</v>
      </c>
      <c r="X203" s="4" t="s">
        <v>75</v>
      </c>
    </row>
    <row r="204" spans="1:24" x14ac:dyDescent="0.35">
      <c r="A204" s="17" t="s">
        <v>114</v>
      </c>
      <c r="B204" s="18">
        <v>45917</v>
      </c>
      <c r="C204" s="19" t="s">
        <v>115</v>
      </c>
      <c r="D204" s="19" t="s">
        <v>116</v>
      </c>
      <c r="E204" s="19" t="s">
        <v>117</v>
      </c>
      <c r="F204" s="19" t="s">
        <v>60</v>
      </c>
      <c r="G204" s="19" t="s">
        <v>97</v>
      </c>
      <c r="H204" s="19" t="s">
        <v>118</v>
      </c>
      <c r="I204" s="19" t="s">
        <v>119</v>
      </c>
      <c r="J204" s="19" t="s">
        <v>31</v>
      </c>
      <c r="K204" s="19" t="s">
        <v>120</v>
      </c>
      <c r="L204" s="20">
        <v>2</v>
      </c>
      <c r="M204" s="19">
        <v>14500</v>
      </c>
      <c r="N204" s="19">
        <v>0.2</v>
      </c>
      <c r="O204" s="19">
        <v>29000</v>
      </c>
      <c r="P204" s="19">
        <v>5800</v>
      </c>
      <c r="Q204" s="19">
        <v>0</v>
      </c>
      <c r="R204" s="19">
        <v>15117.74</v>
      </c>
      <c r="S204" s="19">
        <v>0</v>
      </c>
      <c r="T204" s="21">
        <f>IFERROR(Raw_Data!$S204/Raw_Data!$Q204,0)</f>
        <v>0</v>
      </c>
      <c r="U204" s="19" t="s">
        <v>33</v>
      </c>
      <c r="V204" s="19" t="s">
        <v>70</v>
      </c>
      <c r="W204" s="19" t="s">
        <v>48</v>
      </c>
      <c r="X204" s="19" t="s">
        <v>75</v>
      </c>
    </row>
    <row r="205" spans="1:24" x14ac:dyDescent="0.35">
      <c r="A205" s="13" t="s">
        <v>187</v>
      </c>
      <c r="B205" s="14">
        <v>45917</v>
      </c>
      <c r="C205" s="4" t="s">
        <v>24</v>
      </c>
      <c r="D205" s="4" t="s">
        <v>25</v>
      </c>
      <c r="E205" s="4" t="s">
        <v>26</v>
      </c>
      <c r="F205" s="4" t="s">
        <v>27</v>
      </c>
      <c r="G205" s="4" t="s">
        <v>28</v>
      </c>
      <c r="H205" s="4" t="s">
        <v>61</v>
      </c>
      <c r="I205" s="4" t="s">
        <v>62</v>
      </c>
      <c r="J205" s="4" t="s">
        <v>45</v>
      </c>
      <c r="K205" s="4" t="s">
        <v>63</v>
      </c>
      <c r="L205" s="15">
        <v>5</v>
      </c>
      <c r="M205" s="4">
        <v>1800</v>
      </c>
      <c r="N205" s="4">
        <v>0.2</v>
      </c>
      <c r="O205" s="4">
        <v>9000</v>
      </c>
      <c r="P205" s="4">
        <v>1800</v>
      </c>
      <c r="Q205" s="4">
        <v>7200</v>
      </c>
      <c r="R205" s="4">
        <v>4881.7</v>
      </c>
      <c r="S205" s="4">
        <v>2318.3000000000002</v>
      </c>
      <c r="T205" s="16">
        <f>IFERROR(Raw_Data!$S205/Raw_Data!$Q205,0)</f>
        <v>0.32198611111111114</v>
      </c>
      <c r="U205" s="4" t="s">
        <v>33</v>
      </c>
      <c r="V205" s="4" t="s">
        <v>64</v>
      </c>
      <c r="W205" s="4" t="s">
        <v>48</v>
      </c>
      <c r="X205" s="4" t="s">
        <v>36</v>
      </c>
    </row>
    <row r="206" spans="1:24" x14ac:dyDescent="0.35">
      <c r="A206" s="17" t="s">
        <v>277</v>
      </c>
      <c r="B206" s="18">
        <v>45917</v>
      </c>
      <c r="C206" s="19" t="s">
        <v>24</v>
      </c>
      <c r="D206" s="19" t="s">
        <v>25</v>
      </c>
      <c r="E206" s="19" t="s">
        <v>26</v>
      </c>
      <c r="F206" s="19" t="s">
        <v>27</v>
      </c>
      <c r="G206" s="19" t="s">
        <v>28</v>
      </c>
      <c r="H206" s="19" t="s">
        <v>162</v>
      </c>
      <c r="I206" s="19" t="s">
        <v>163</v>
      </c>
      <c r="J206" s="19" t="s">
        <v>31</v>
      </c>
      <c r="K206" s="19" t="s">
        <v>164</v>
      </c>
      <c r="L206" s="20">
        <v>4</v>
      </c>
      <c r="M206" s="19">
        <v>16500</v>
      </c>
      <c r="N206" s="19">
        <v>0</v>
      </c>
      <c r="O206" s="19">
        <v>66000</v>
      </c>
      <c r="P206" s="19">
        <v>0</v>
      </c>
      <c r="Q206" s="19">
        <v>66000</v>
      </c>
      <c r="R206" s="19">
        <v>48682.7</v>
      </c>
      <c r="S206" s="19">
        <v>17317.3</v>
      </c>
      <c r="T206" s="21">
        <f>IFERROR(Raw_Data!$S206/Raw_Data!$Q206,0)</f>
        <v>0.2623833333333333</v>
      </c>
      <c r="U206" s="19" t="s">
        <v>54</v>
      </c>
      <c r="V206" s="19" t="s">
        <v>64</v>
      </c>
      <c r="W206" s="19" t="s">
        <v>65</v>
      </c>
      <c r="X206" s="19" t="s">
        <v>36</v>
      </c>
    </row>
    <row r="207" spans="1:24" x14ac:dyDescent="0.35">
      <c r="A207" s="13" t="s">
        <v>353</v>
      </c>
      <c r="B207" s="14">
        <v>45917</v>
      </c>
      <c r="C207" s="4" t="s">
        <v>38</v>
      </c>
      <c r="D207" s="4" t="s">
        <v>39</v>
      </c>
      <c r="E207" s="4" t="s">
        <v>40</v>
      </c>
      <c r="F207" s="4" t="s">
        <v>41</v>
      </c>
      <c r="G207" s="4" t="s">
        <v>42</v>
      </c>
      <c r="H207" s="4" t="s">
        <v>72</v>
      </c>
      <c r="I207" s="4" t="s">
        <v>73</v>
      </c>
      <c r="J207" s="4" t="s">
        <v>45</v>
      </c>
      <c r="K207" s="4" t="s">
        <v>74</v>
      </c>
      <c r="L207" s="15">
        <v>8</v>
      </c>
      <c r="M207" s="4">
        <v>4200</v>
      </c>
      <c r="N207" s="4">
        <v>0.2</v>
      </c>
      <c r="O207" s="4">
        <v>33600</v>
      </c>
      <c r="P207" s="4">
        <v>6720</v>
      </c>
      <c r="Q207" s="4">
        <v>26880</v>
      </c>
      <c r="R207" s="4">
        <v>19221.939999999999</v>
      </c>
      <c r="S207" s="4">
        <v>7658.06</v>
      </c>
      <c r="T207" s="16">
        <f>IFERROR(Raw_Data!$S207/Raw_Data!$Q207,0)</f>
        <v>0.28489806547619051</v>
      </c>
      <c r="U207" s="4" t="s">
        <v>54</v>
      </c>
      <c r="V207" s="4" t="s">
        <v>64</v>
      </c>
      <c r="W207" s="4" t="s">
        <v>65</v>
      </c>
      <c r="X207" s="4" t="s">
        <v>36</v>
      </c>
    </row>
    <row r="208" spans="1:24" x14ac:dyDescent="0.35">
      <c r="A208" s="17" t="s">
        <v>238</v>
      </c>
      <c r="B208" s="18">
        <v>45918</v>
      </c>
      <c r="C208" s="19" t="s">
        <v>127</v>
      </c>
      <c r="D208" s="19" t="s">
        <v>128</v>
      </c>
      <c r="E208" s="19" t="s">
        <v>129</v>
      </c>
      <c r="F208" s="19" t="s">
        <v>27</v>
      </c>
      <c r="G208" s="19" t="s">
        <v>28</v>
      </c>
      <c r="H208" s="19" t="s">
        <v>61</v>
      </c>
      <c r="I208" s="19" t="s">
        <v>62</v>
      </c>
      <c r="J208" s="19" t="s">
        <v>45</v>
      </c>
      <c r="K208" s="19" t="s">
        <v>63</v>
      </c>
      <c r="L208" s="20">
        <v>5</v>
      </c>
      <c r="M208" s="19">
        <v>1800</v>
      </c>
      <c r="N208" s="19">
        <v>0.1</v>
      </c>
      <c r="O208" s="19">
        <v>9000</v>
      </c>
      <c r="P208" s="19">
        <v>900</v>
      </c>
      <c r="Q208" s="19">
        <v>8100</v>
      </c>
      <c r="R208" s="19">
        <v>6320.7</v>
      </c>
      <c r="S208" s="19">
        <v>1779.3</v>
      </c>
      <c r="T208" s="21">
        <f>IFERROR(Raw_Data!$S208/Raw_Data!$Q208,0)</f>
        <v>0.21966666666666665</v>
      </c>
      <c r="U208" s="19" t="s">
        <v>54</v>
      </c>
      <c r="V208" s="19" t="s">
        <v>139</v>
      </c>
      <c r="W208" s="19" t="s">
        <v>48</v>
      </c>
      <c r="X208" s="19" t="s">
        <v>36</v>
      </c>
    </row>
    <row r="209" spans="1:24" x14ac:dyDescent="0.35">
      <c r="A209" s="13" t="s">
        <v>332</v>
      </c>
      <c r="B209" s="14">
        <v>45918</v>
      </c>
      <c r="C209" s="4" t="s">
        <v>105</v>
      </c>
      <c r="D209" s="4" t="s">
        <v>106</v>
      </c>
      <c r="E209" s="4" t="s">
        <v>107</v>
      </c>
      <c r="F209" s="4" t="s">
        <v>108</v>
      </c>
      <c r="G209" s="4" t="s">
        <v>28</v>
      </c>
      <c r="H209" s="4" t="s">
        <v>72</v>
      </c>
      <c r="I209" s="4" t="s">
        <v>73</v>
      </c>
      <c r="J209" s="4" t="s">
        <v>45</v>
      </c>
      <c r="K209" s="4" t="s">
        <v>74</v>
      </c>
      <c r="L209" s="15">
        <v>4</v>
      </c>
      <c r="M209" s="4">
        <v>4200</v>
      </c>
      <c r="N209" s="4">
        <v>0</v>
      </c>
      <c r="O209" s="4">
        <v>16800</v>
      </c>
      <c r="P209" s="4">
        <v>0</v>
      </c>
      <c r="Q209" s="4">
        <v>16800</v>
      </c>
      <c r="R209" s="4">
        <v>13716.05</v>
      </c>
      <c r="S209" s="4">
        <v>3083.95</v>
      </c>
      <c r="T209" s="16">
        <f>IFERROR(Raw_Data!$S209/Raw_Data!$Q209,0)</f>
        <v>0.18356845238095237</v>
      </c>
      <c r="U209" s="4" t="s">
        <v>54</v>
      </c>
      <c r="V209" s="4" t="s">
        <v>139</v>
      </c>
      <c r="W209" s="4" t="s">
        <v>35</v>
      </c>
      <c r="X209" s="4" t="s">
        <v>36</v>
      </c>
    </row>
    <row r="210" spans="1:24" x14ac:dyDescent="0.35">
      <c r="A210" s="17" t="s">
        <v>185</v>
      </c>
      <c r="B210" s="18">
        <v>45919</v>
      </c>
      <c r="C210" s="19" t="s">
        <v>142</v>
      </c>
      <c r="D210" s="19" t="s">
        <v>143</v>
      </c>
      <c r="E210" s="19" t="s">
        <v>144</v>
      </c>
      <c r="F210" s="19" t="s">
        <v>87</v>
      </c>
      <c r="G210" s="19" t="s">
        <v>28</v>
      </c>
      <c r="H210" s="19" t="s">
        <v>162</v>
      </c>
      <c r="I210" s="19" t="s">
        <v>163</v>
      </c>
      <c r="J210" s="19" t="s">
        <v>31</v>
      </c>
      <c r="K210" s="19" t="s">
        <v>164</v>
      </c>
      <c r="L210" s="20">
        <v>2</v>
      </c>
      <c r="M210" s="19">
        <v>16500</v>
      </c>
      <c r="N210" s="19">
        <v>0.1</v>
      </c>
      <c r="O210" s="19">
        <v>33000</v>
      </c>
      <c r="P210" s="19">
        <v>3300</v>
      </c>
      <c r="Q210" s="19">
        <v>29700</v>
      </c>
      <c r="R210" s="19">
        <v>23637.67</v>
      </c>
      <c r="S210" s="19">
        <v>6062.33</v>
      </c>
      <c r="T210" s="21">
        <f>IFERROR(Raw_Data!$S210/Raw_Data!$Q210,0)</f>
        <v>0.20411885521885523</v>
      </c>
      <c r="U210" s="19" t="s">
        <v>113</v>
      </c>
      <c r="V210" s="19" t="s">
        <v>47</v>
      </c>
      <c r="W210" s="19" t="s">
        <v>55</v>
      </c>
      <c r="X210" s="19" t="s">
        <v>36</v>
      </c>
    </row>
    <row r="211" spans="1:24" x14ac:dyDescent="0.35">
      <c r="A211" s="13" t="s">
        <v>430</v>
      </c>
      <c r="B211" s="14">
        <v>45919</v>
      </c>
      <c r="C211" s="4" t="s">
        <v>170</v>
      </c>
      <c r="D211" s="4" t="s">
        <v>171</v>
      </c>
      <c r="E211" s="4" t="s">
        <v>172</v>
      </c>
      <c r="F211" s="4" t="s">
        <v>27</v>
      </c>
      <c r="G211" s="4" t="s">
        <v>97</v>
      </c>
      <c r="H211" s="4" t="s">
        <v>151</v>
      </c>
      <c r="I211" s="4" t="s">
        <v>152</v>
      </c>
      <c r="J211" s="4" t="s">
        <v>45</v>
      </c>
      <c r="K211" s="4" t="s">
        <v>153</v>
      </c>
      <c r="L211" s="15">
        <v>4</v>
      </c>
      <c r="M211" s="4">
        <v>3200</v>
      </c>
      <c r="N211" s="4">
        <v>0.1</v>
      </c>
      <c r="O211" s="4">
        <v>12800</v>
      </c>
      <c r="P211" s="4">
        <v>1280</v>
      </c>
      <c r="Q211" s="4">
        <v>11520</v>
      </c>
      <c r="R211" s="4">
        <v>7715.97</v>
      </c>
      <c r="S211" s="4">
        <v>3804.03</v>
      </c>
      <c r="T211" s="16">
        <f>IFERROR(Raw_Data!$S211/Raw_Data!$Q211,0)</f>
        <v>0.33021093750000002</v>
      </c>
      <c r="U211" s="4" t="s">
        <v>33</v>
      </c>
      <c r="V211" s="4" t="s">
        <v>70</v>
      </c>
      <c r="W211" s="4" t="s">
        <v>48</v>
      </c>
      <c r="X211" s="4" t="s">
        <v>36</v>
      </c>
    </row>
    <row r="212" spans="1:24" x14ac:dyDescent="0.35">
      <c r="A212" s="17" t="s">
        <v>234</v>
      </c>
      <c r="B212" s="18">
        <v>45921</v>
      </c>
      <c r="C212" s="19" t="s">
        <v>24</v>
      </c>
      <c r="D212" s="19" t="s">
        <v>25</v>
      </c>
      <c r="E212" s="19" t="s">
        <v>26</v>
      </c>
      <c r="F212" s="19" t="s">
        <v>27</v>
      </c>
      <c r="G212" s="19" t="s">
        <v>28</v>
      </c>
      <c r="H212" s="19" t="s">
        <v>43</v>
      </c>
      <c r="I212" s="19" t="s">
        <v>44</v>
      </c>
      <c r="J212" s="19" t="s">
        <v>45</v>
      </c>
      <c r="K212" s="19" t="s">
        <v>46</v>
      </c>
      <c r="L212" s="20">
        <v>1</v>
      </c>
      <c r="M212" s="19">
        <v>8900</v>
      </c>
      <c r="N212" s="19">
        <v>0.2</v>
      </c>
      <c r="O212" s="19">
        <v>8900</v>
      </c>
      <c r="P212" s="19">
        <v>1780</v>
      </c>
      <c r="Q212" s="19">
        <v>7120</v>
      </c>
      <c r="R212" s="19">
        <v>5615.18</v>
      </c>
      <c r="S212" s="19">
        <v>1504.82</v>
      </c>
      <c r="T212" s="21">
        <f>IFERROR(Raw_Data!$S212/Raw_Data!$Q212,0)</f>
        <v>0.21135112359550562</v>
      </c>
      <c r="U212" s="19" t="s">
        <v>113</v>
      </c>
      <c r="V212" s="19" t="s">
        <v>47</v>
      </c>
      <c r="W212" s="19" t="s">
        <v>48</v>
      </c>
      <c r="X212" s="19" t="s">
        <v>36</v>
      </c>
    </row>
    <row r="213" spans="1:24" x14ac:dyDescent="0.35">
      <c r="A213" s="13" t="s">
        <v>434</v>
      </c>
      <c r="B213" s="14">
        <v>45922</v>
      </c>
      <c r="C213" s="4" t="s">
        <v>105</v>
      </c>
      <c r="D213" s="4" t="s">
        <v>106</v>
      </c>
      <c r="E213" s="4" t="s">
        <v>107</v>
      </c>
      <c r="F213" s="4" t="s">
        <v>108</v>
      </c>
      <c r="G213" s="4" t="s">
        <v>28</v>
      </c>
      <c r="H213" s="4" t="s">
        <v>151</v>
      </c>
      <c r="I213" s="4" t="s">
        <v>152</v>
      </c>
      <c r="J213" s="4" t="s">
        <v>45</v>
      </c>
      <c r="K213" s="4" t="s">
        <v>153</v>
      </c>
      <c r="L213" s="15">
        <v>3</v>
      </c>
      <c r="M213" s="4">
        <v>3200</v>
      </c>
      <c r="N213" s="4">
        <v>0.15</v>
      </c>
      <c r="O213" s="4">
        <v>9600</v>
      </c>
      <c r="P213" s="4">
        <v>1440</v>
      </c>
      <c r="Q213" s="4">
        <v>-8160</v>
      </c>
      <c r="R213" s="4">
        <v>5046.41</v>
      </c>
      <c r="S213" s="4">
        <v>-3113.59</v>
      </c>
      <c r="T213" s="16">
        <f>IFERROR(Raw_Data!$S213/Raw_Data!$Q213,0)</f>
        <v>0.38156740196078431</v>
      </c>
      <c r="U213" s="4" t="s">
        <v>113</v>
      </c>
      <c r="V213" s="4" t="s">
        <v>139</v>
      </c>
      <c r="W213" s="4" t="s">
        <v>48</v>
      </c>
      <c r="X213" s="4" t="s">
        <v>49</v>
      </c>
    </row>
    <row r="214" spans="1:24" x14ac:dyDescent="0.35">
      <c r="A214" s="17" t="s">
        <v>329</v>
      </c>
      <c r="B214" s="18">
        <v>45923</v>
      </c>
      <c r="C214" s="19" t="s">
        <v>105</v>
      </c>
      <c r="D214" s="19" t="s">
        <v>106</v>
      </c>
      <c r="E214" s="19" t="s">
        <v>107</v>
      </c>
      <c r="F214" s="19" t="s">
        <v>108</v>
      </c>
      <c r="G214" s="19" t="s">
        <v>28</v>
      </c>
      <c r="H214" s="19" t="s">
        <v>99</v>
      </c>
      <c r="I214" s="19" t="s">
        <v>100</v>
      </c>
      <c r="J214" s="19" t="s">
        <v>101</v>
      </c>
      <c r="K214" s="19" t="s">
        <v>102</v>
      </c>
      <c r="L214" s="20">
        <v>7</v>
      </c>
      <c r="M214" s="19">
        <v>12500</v>
      </c>
      <c r="N214" s="19">
        <v>0.15</v>
      </c>
      <c r="O214" s="19">
        <v>87500</v>
      </c>
      <c r="P214" s="19">
        <v>13125</v>
      </c>
      <c r="Q214" s="19">
        <v>74375</v>
      </c>
      <c r="R214" s="19">
        <v>45239.53</v>
      </c>
      <c r="S214" s="19">
        <v>29135.47</v>
      </c>
      <c r="T214" s="21">
        <f>IFERROR(Raw_Data!$S214/Raw_Data!$Q214,0)</f>
        <v>0.39173741176470589</v>
      </c>
      <c r="U214" s="19" t="s">
        <v>33</v>
      </c>
      <c r="V214" s="19" t="s">
        <v>139</v>
      </c>
      <c r="W214" s="19" t="s">
        <v>48</v>
      </c>
      <c r="X214" s="19" t="s">
        <v>36</v>
      </c>
    </row>
    <row r="215" spans="1:24" x14ac:dyDescent="0.35">
      <c r="A215" s="13" t="s">
        <v>337</v>
      </c>
      <c r="B215" s="14">
        <v>45923</v>
      </c>
      <c r="C215" s="4" t="s">
        <v>77</v>
      </c>
      <c r="D215" s="4" t="s">
        <v>78</v>
      </c>
      <c r="E215" s="4" t="s">
        <v>79</v>
      </c>
      <c r="F215" s="4" t="s">
        <v>60</v>
      </c>
      <c r="G215" s="4" t="s">
        <v>28</v>
      </c>
      <c r="H215" s="4" t="s">
        <v>72</v>
      </c>
      <c r="I215" s="4" t="s">
        <v>73</v>
      </c>
      <c r="J215" s="4" t="s">
        <v>45</v>
      </c>
      <c r="K215" s="4" t="s">
        <v>74</v>
      </c>
      <c r="L215" s="15">
        <v>5</v>
      </c>
      <c r="M215" s="4">
        <v>4200</v>
      </c>
      <c r="N215" s="4">
        <v>0</v>
      </c>
      <c r="O215" s="4">
        <v>21000</v>
      </c>
      <c r="P215" s="4">
        <v>0</v>
      </c>
      <c r="Q215" s="4">
        <v>0</v>
      </c>
      <c r="R215" s="4">
        <v>13443.05</v>
      </c>
      <c r="S215" s="4">
        <v>0</v>
      </c>
      <c r="T215" s="16">
        <f>IFERROR(Raw_Data!$S215/Raw_Data!$Q215,0)</f>
        <v>0</v>
      </c>
      <c r="U215" s="4" t="s">
        <v>33</v>
      </c>
      <c r="V215" s="4" t="s">
        <v>64</v>
      </c>
      <c r="W215" s="4" t="s">
        <v>48</v>
      </c>
      <c r="X215" s="4" t="s">
        <v>75</v>
      </c>
    </row>
    <row r="216" spans="1:24" x14ac:dyDescent="0.35">
      <c r="A216" s="17" t="s">
        <v>211</v>
      </c>
      <c r="B216" s="18">
        <v>45925</v>
      </c>
      <c r="C216" s="19" t="s">
        <v>142</v>
      </c>
      <c r="D216" s="19" t="s">
        <v>143</v>
      </c>
      <c r="E216" s="19" t="s">
        <v>144</v>
      </c>
      <c r="F216" s="19" t="s">
        <v>87</v>
      </c>
      <c r="G216" s="19" t="s">
        <v>28</v>
      </c>
      <c r="H216" s="19" t="s">
        <v>118</v>
      </c>
      <c r="I216" s="19" t="s">
        <v>119</v>
      </c>
      <c r="J216" s="19" t="s">
        <v>31</v>
      </c>
      <c r="K216" s="19" t="s">
        <v>120</v>
      </c>
      <c r="L216" s="20">
        <v>5</v>
      </c>
      <c r="M216" s="19">
        <v>14500</v>
      </c>
      <c r="N216" s="19">
        <v>0.15</v>
      </c>
      <c r="O216" s="19">
        <v>72500</v>
      </c>
      <c r="P216" s="19">
        <v>10875</v>
      </c>
      <c r="Q216" s="19">
        <v>-61625</v>
      </c>
      <c r="R216" s="19">
        <v>47695.77</v>
      </c>
      <c r="S216" s="19">
        <v>-13929.23</v>
      </c>
      <c r="T216" s="21">
        <f>IFERROR(Raw_Data!$S216/Raw_Data!$Q216,0)</f>
        <v>0.22603212981744422</v>
      </c>
      <c r="U216" s="19" t="s">
        <v>113</v>
      </c>
      <c r="V216" s="19" t="s">
        <v>139</v>
      </c>
      <c r="W216" s="19" t="s">
        <v>55</v>
      </c>
      <c r="X216" s="19" t="s">
        <v>49</v>
      </c>
    </row>
    <row r="217" spans="1:24" x14ac:dyDescent="0.35">
      <c r="A217" s="13" t="s">
        <v>405</v>
      </c>
      <c r="B217" s="14">
        <v>45927</v>
      </c>
      <c r="C217" s="4" t="s">
        <v>84</v>
      </c>
      <c r="D217" s="4" t="s">
        <v>85</v>
      </c>
      <c r="E217" s="4" t="s">
        <v>86</v>
      </c>
      <c r="F217" s="4" t="s">
        <v>87</v>
      </c>
      <c r="G217" s="4" t="s">
        <v>42</v>
      </c>
      <c r="H217" s="4" t="s">
        <v>162</v>
      </c>
      <c r="I217" s="4" t="s">
        <v>163</v>
      </c>
      <c r="J217" s="4" t="s">
        <v>31</v>
      </c>
      <c r="K217" s="4" t="s">
        <v>164</v>
      </c>
      <c r="L217" s="15">
        <v>5</v>
      </c>
      <c r="M217" s="4">
        <v>16500</v>
      </c>
      <c r="N217" s="4">
        <v>0.05</v>
      </c>
      <c r="O217" s="4">
        <v>82500</v>
      </c>
      <c r="P217" s="4">
        <v>4125</v>
      </c>
      <c r="Q217" s="4">
        <v>78375</v>
      </c>
      <c r="R217" s="4">
        <v>50485.88</v>
      </c>
      <c r="S217" s="4">
        <v>27889.119999999999</v>
      </c>
      <c r="T217" s="16">
        <f>IFERROR(Raw_Data!$S217/Raw_Data!$Q217,0)</f>
        <v>0.35584204146730464</v>
      </c>
      <c r="U217" s="4" t="s">
        <v>54</v>
      </c>
      <c r="V217" s="4" t="s">
        <v>64</v>
      </c>
      <c r="W217" s="4" t="s">
        <v>55</v>
      </c>
      <c r="X217" s="4" t="s">
        <v>36</v>
      </c>
    </row>
    <row r="218" spans="1:24" x14ac:dyDescent="0.35">
      <c r="A218" s="17" t="s">
        <v>272</v>
      </c>
      <c r="B218" s="18">
        <v>45929</v>
      </c>
      <c r="C218" s="19" t="s">
        <v>94</v>
      </c>
      <c r="D218" s="19" t="s">
        <v>95</v>
      </c>
      <c r="E218" s="19" t="s">
        <v>96</v>
      </c>
      <c r="F218" s="19" t="s">
        <v>60</v>
      </c>
      <c r="G218" s="19" t="s">
        <v>97</v>
      </c>
      <c r="H218" s="19" t="s">
        <v>162</v>
      </c>
      <c r="I218" s="19" t="s">
        <v>163</v>
      </c>
      <c r="J218" s="19" t="s">
        <v>31</v>
      </c>
      <c r="K218" s="19" t="s">
        <v>164</v>
      </c>
      <c r="L218" s="20">
        <v>5</v>
      </c>
      <c r="M218" s="19">
        <v>16500</v>
      </c>
      <c r="N218" s="19">
        <v>0.1</v>
      </c>
      <c r="O218" s="19">
        <v>82500</v>
      </c>
      <c r="P218" s="19">
        <v>8250</v>
      </c>
      <c r="Q218" s="19">
        <v>74250</v>
      </c>
      <c r="R218" s="19">
        <v>52073.919999999998</v>
      </c>
      <c r="S218" s="19">
        <v>22176.080000000002</v>
      </c>
      <c r="T218" s="21">
        <f>IFERROR(Raw_Data!$S218/Raw_Data!$Q218,0)</f>
        <v>0.2986677441077441</v>
      </c>
      <c r="U218" s="19" t="s">
        <v>54</v>
      </c>
      <c r="V218" s="19" t="s">
        <v>34</v>
      </c>
      <c r="W218" s="19" t="s">
        <v>35</v>
      </c>
      <c r="X218" s="19" t="s">
        <v>36</v>
      </c>
    </row>
    <row r="219" spans="1:24" x14ac:dyDescent="0.35">
      <c r="A219" s="13" t="s">
        <v>328</v>
      </c>
      <c r="B219" s="14">
        <v>45929</v>
      </c>
      <c r="C219" s="4" t="s">
        <v>38</v>
      </c>
      <c r="D219" s="4" t="s">
        <v>39</v>
      </c>
      <c r="E219" s="4" t="s">
        <v>40</v>
      </c>
      <c r="F219" s="4" t="s">
        <v>41</v>
      </c>
      <c r="G219" s="4" t="s">
        <v>42</v>
      </c>
      <c r="H219" s="4" t="s">
        <v>118</v>
      </c>
      <c r="I219" s="4" t="s">
        <v>119</v>
      </c>
      <c r="J219" s="4" t="s">
        <v>31</v>
      </c>
      <c r="K219" s="4" t="s">
        <v>120</v>
      </c>
      <c r="L219" s="15">
        <v>6</v>
      </c>
      <c r="M219" s="4">
        <v>14500</v>
      </c>
      <c r="N219" s="4">
        <v>0.1</v>
      </c>
      <c r="O219" s="4">
        <v>87000</v>
      </c>
      <c r="P219" s="4">
        <v>8700</v>
      </c>
      <c r="Q219" s="4">
        <v>78300</v>
      </c>
      <c r="R219" s="4">
        <v>51321.93</v>
      </c>
      <c r="S219" s="4">
        <v>26978.07</v>
      </c>
      <c r="T219" s="16">
        <f>IFERROR(Raw_Data!$S219/Raw_Data!$Q219,0)</f>
        <v>0.34454750957854408</v>
      </c>
      <c r="U219" s="4" t="s">
        <v>54</v>
      </c>
      <c r="V219" s="4" t="s">
        <v>47</v>
      </c>
      <c r="W219" s="4" t="s">
        <v>35</v>
      </c>
      <c r="X219" s="4" t="s">
        <v>36</v>
      </c>
    </row>
    <row r="220" spans="1:24" x14ac:dyDescent="0.35">
      <c r="A220" s="17" t="s">
        <v>338</v>
      </c>
      <c r="B220" s="18">
        <v>45931</v>
      </c>
      <c r="C220" s="19" t="s">
        <v>131</v>
      </c>
      <c r="D220" s="19" t="s">
        <v>132</v>
      </c>
      <c r="E220" s="19" t="s">
        <v>133</v>
      </c>
      <c r="F220" s="19" t="s">
        <v>27</v>
      </c>
      <c r="G220" s="19" t="s">
        <v>28</v>
      </c>
      <c r="H220" s="19" t="s">
        <v>162</v>
      </c>
      <c r="I220" s="19" t="s">
        <v>163</v>
      </c>
      <c r="J220" s="19" t="s">
        <v>31</v>
      </c>
      <c r="K220" s="19" t="s">
        <v>164</v>
      </c>
      <c r="L220" s="20">
        <v>2</v>
      </c>
      <c r="M220" s="19">
        <v>16500</v>
      </c>
      <c r="N220" s="19">
        <v>0.15</v>
      </c>
      <c r="O220" s="19">
        <v>33000</v>
      </c>
      <c r="P220" s="19">
        <v>4950</v>
      </c>
      <c r="Q220" s="19">
        <v>-28050</v>
      </c>
      <c r="R220" s="19">
        <v>20584.13</v>
      </c>
      <c r="S220" s="19">
        <v>-7465.87</v>
      </c>
      <c r="T220" s="21">
        <f>IFERROR(Raw_Data!$S220/Raw_Data!$Q220,0)</f>
        <v>0.26616292335115865</v>
      </c>
      <c r="U220" s="19" t="s">
        <v>33</v>
      </c>
      <c r="V220" s="19" t="s">
        <v>88</v>
      </c>
      <c r="W220" s="19" t="s">
        <v>48</v>
      </c>
      <c r="X220" s="19" t="s">
        <v>49</v>
      </c>
    </row>
    <row r="221" spans="1:24" x14ac:dyDescent="0.35">
      <c r="A221" s="13" t="s">
        <v>186</v>
      </c>
      <c r="B221" s="14">
        <v>45933</v>
      </c>
      <c r="C221" s="4" t="s">
        <v>155</v>
      </c>
      <c r="D221" s="4" t="s">
        <v>156</v>
      </c>
      <c r="E221" s="4" t="s">
        <v>157</v>
      </c>
      <c r="F221" s="4" t="s">
        <v>60</v>
      </c>
      <c r="G221" s="4" t="s">
        <v>97</v>
      </c>
      <c r="H221" s="4" t="s">
        <v>110</v>
      </c>
      <c r="I221" s="4" t="s">
        <v>111</v>
      </c>
      <c r="J221" s="4" t="s">
        <v>101</v>
      </c>
      <c r="K221" s="4" t="s">
        <v>112</v>
      </c>
      <c r="L221" s="15">
        <v>4</v>
      </c>
      <c r="M221" s="4">
        <v>22000</v>
      </c>
      <c r="N221" s="4">
        <v>0.05</v>
      </c>
      <c r="O221" s="4">
        <v>88000</v>
      </c>
      <c r="P221" s="4">
        <v>4400</v>
      </c>
      <c r="Q221" s="4">
        <v>0</v>
      </c>
      <c r="R221" s="4">
        <v>57141.55</v>
      </c>
      <c r="S221" s="4">
        <v>0</v>
      </c>
      <c r="T221" s="16">
        <f>IFERROR(Raw_Data!$S221/Raw_Data!$Q221,0)</f>
        <v>0</v>
      </c>
      <c r="U221" s="4" t="s">
        <v>113</v>
      </c>
      <c r="V221" s="4" t="s">
        <v>70</v>
      </c>
      <c r="W221" s="4" t="s">
        <v>65</v>
      </c>
      <c r="X221" s="4" t="s">
        <v>75</v>
      </c>
    </row>
    <row r="222" spans="1:24" x14ac:dyDescent="0.35">
      <c r="A222" s="17" t="s">
        <v>382</v>
      </c>
      <c r="B222" s="18">
        <v>45933</v>
      </c>
      <c r="C222" s="19" t="s">
        <v>24</v>
      </c>
      <c r="D222" s="19" t="s">
        <v>25</v>
      </c>
      <c r="E222" s="19" t="s">
        <v>26</v>
      </c>
      <c r="F222" s="19" t="s">
        <v>27</v>
      </c>
      <c r="G222" s="19" t="s">
        <v>28</v>
      </c>
      <c r="H222" s="19" t="s">
        <v>118</v>
      </c>
      <c r="I222" s="19" t="s">
        <v>119</v>
      </c>
      <c r="J222" s="19" t="s">
        <v>31</v>
      </c>
      <c r="K222" s="19" t="s">
        <v>120</v>
      </c>
      <c r="L222" s="20">
        <v>7</v>
      </c>
      <c r="M222" s="19">
        <v>14500</v>
      </c>
      <c r="N222" s="19">
        <v>0.15</v>
      </c>
      <c r="O222" s="19">
        <v>101500</v>
      </c>
      <c r="P222" s="19">
        <v>15225</v>
      </c>
      <c r="Q222" s="19">
        <v>86275</v>
      </c>
      <c r="R222" s="19">
        <v>52676.35</v>
      </c>
      <c r="S222" s="19">
        <v>33598.65</v>
      </c>
      <c r="T222" s="21">
        <f>IFERROR(Raw_Data!$S222/Raw_Data!$Q222,0)</f>
        <v>0.38943668501883516</v>
      </c>
      <c r="U222" s="19" t="s">
        <v>54</v>
      </c>
      <c r="V222" s="19" t="s">
        <v>47</v>
      </c>
      <c r="W222" s="19" t="s">
        <v>65</v>
      </c>
      <c r="X222" s="19" t="s">
        <v>36</v>
      </c>
    </row>
    <row r="223" spans="1:24" x14ac:dyDescent="0.35">
      <c r="A223" s="13" t="s">
        <v>245</v>
      </c>
      <c r="B223" s="14">
        <v>45935</v>
      </c>
      <c r="C223" s="4" t="s">
        <v>57</v>
      </c>
      <c r="D223" s="4" t="s">
        <v>58</v>
      </c>
      <c r="E223" s="4" t="s">
        <v>59</v>
      </c>
      <c r="F223" s="4" t="s">
        <v>60</v>
      </c>
      <c r="G223" s="4" t="s">
        <v>42</v>
      </c>
      <c r="H223" s="4" t="s">
        <v>99</v>
      </c>
      <c r="I223" s="4" t="s">
        <v>100</v>
      </c>
      <c r="J223" s="4" t="s">
        <v>101</v>
      </c>
      <c r="K223" s="4" t="s">
        <v>102</v>
      </c>
      <c r="L223" s="15">
        <v>1</v>
      </c>
      <c r="M223" s="4">
        <v>12500</v>
      </c>
      <c r="N223" s="4">
        <v>0.15</v>
      </c>
      <c r="O223" s="4">
        <v>12500</v>
      </c>
      <c r="P223" s="4">
        <v>1875</v>
      </c>
      <c r="Q223" s="4">
        <v>0</v>
      </c>
      <c r="R223" s="4">
        <v>6336.97</v>
      </c>
      <c r="S223" s="4">
        <v>0</v>
      </c>
      <c r="T223" s="16">
        <f>IFERROR(Raw_Data!$S223/Raw_Data!$Q223,0)</f>
        <v>0</v>
      </c>
      <c r="U223" s="4" t="s">
        <v>33</v>
      </c>
      <c r="V223" s="4" t="s">
        <v>64</v>
      </c>
      <c r="W223" s="4" t="s">
        <v>48</v>
      </c>
      <c r="X223" s="4" t="s">
        <v>75</v>
      </c>
    </row>
    <row r="224" spans="1:24" x14ac:dyDescent="0.35">
      <c r="A224" s="17" t="s">
        <v>174</v>
      </c>
      <c r="B224" s="18">
        <v>45940</v>
      </c>
      <c r="C224" s="19" t="s">
        <v>105</v>
      </c>
      <c r="D224" s="19" t="s">
        <v>106</v>
      </c>
      <c r="E224" s="19" t="s">
        <v>107</v>
      </c>
      <c r="F224" s="19" t="s">
        <v>108</v>
      </c>
      <c r="G224" s="19" t="s">
        <v>28</v>
      </c>
      <c r="H224" s="19" t="s">
        <v>99</v>
      </c>
      <c r="I224" s="19" t="s">
        <v>100</v>
      </c>
      <c r="J224" s="19" t="s">
        <v>101</v>
      </c>
      <c r="K224" s="19" t="s">
        <v>102</v>
      </c>
      <c r="L224" s="20">
        <v>7</v>
      </c>
      <c r="M224" s="19">
        <v>12500</v>
      </c>
      <c r="N224" s="19">
        <v>0.15</v>
      </c>
      <c r="O224" s="19">
        <v>87500</v>
      </c>
      <c r="P224" s="19">
        <v>13125</v>
      </c>
      <c r="Q224" s="19">
        <v>74375</v>
      </c>
      <c r="R224" s="19">
        <v>43310.1</v>
      </c>
      <c r="S224" s="19">
        <v>31064.9</v>
      </c>
      <c r="T224" s="21">
        <f>IFERROR(Raw_Data!$S224/Raw_Data!$Q224,0)</f>
        <v>0.41767932773109245</v>
      </c>
      <c r="U224" s="19" t="s">
        <v>33</v>
      </c>
      <c r="V224" s="19" t="s">
        <v>88</v>
      </c>
      <c r="W224" s="19" t="s">
        <v>35</v>
      </c>
      <c r="X224" s="19" t="s">
        <v>36</v>
      </c>
    </row>
    <row r="225" spans="1:24" x14ac:dyDescent="0.35">
      <c r="A225" s="13" t="s">
        <v>175</v>
      </c>
      <c r="B225" s="14">
        <v>45940</v>
      </c>
      <c r="C225" s="4" t="s">
        <v>176</v>
      </c>
      <c r="D225" s="4" t="s">
        <v>177</v>
      </c>
      <c r="E225" s="4" t="s">
        <v>178</v>
      </c>
      <c r="F225" s="4" t="s">
        <v>108</v>
      </c>
      <c r="G225" s="4" t="s">
        <v>28</v>
      </c>
      <c r="H225" s="4" t="s">
        <v>162</v>
      </c>
      <c r="I225" s="4" t="s">
        <v>163</v>
      </c>
      <c r="J225" s="4" t="s">
        <v>31</v>
      </c>
      <c r="K225" s="4" t="s">
        <v>164</v>
      </c>
      <c r="L225" s="15">
        <v>3</v>
      </c>
      <c r="M225" s="4">
        <v>16500</v>
      </c>
      <c r="N225" s="4">
        <v>0.1</v>
      </c>
      <c r="O225" s="4">
        <v>49500</v>
      </c>
      <c r="P225" s="4">
        <v>4950</v>
      </c>
      <c r="Q225" s="4">
        <v>44550</v>
      </c>
      <c r="R225" s="4">
        <v>27201.65</v>
      </c>
      <c r="S225" s="4">
        <v>17348.349999999999</v>
      </c>
      <c r="T225" s="16">
        <f>IFERROR(Raw_Data!$S225/Raw_Data!$Q225,0)</f>
        <v>0.38941301907968573</v>
      </c>
      <c r="U225" s="4" t="s">
        <v>113</v>
      </c>
      <c r="V225" s="4" t="s">
        <v>47</v>
      </c>
      <c r="W225" s="4" t="s">
        <v>65</v>
      </c>
      <c r="X225" s="4" t="s">
        <v>36</v>
      </c>
    </row>
    <row r="226" spans="1:24" x14ac:dyDescent="0.35">
      <c r="A226" s="17" t="s">
        <v>398</v>
      </c>
      <c r="B226" s="18">
        <v>45941</v>
      </c>
      <c r="C226" s="19" t="s">
        <v>155</v>
      </c>
      <c r="D226" s="19" t="s">
        <v>156</v>
      </c>
      <c r="E226" s="19" t="s">
        <v>157</v>
      </c>
      <c r="F226" s="19" t="s">
        <v>60</v>
      </c>
      <c r="G226" s="19" t="s">
        <v>97</v>
      </c>
      <c r="H226" s="19" t="s">
        <v>61</v>
      </c>
      <c r="I226" s="19" t="s">
        <v>62</v>
      </c>
      <c r="J226" s="19" t="s">
        <v>45</v>
      </c>
      <c r="K226" s="19" t="s">
        <v>63</v>
      </c>
      <c r="L226" s="20">
        <v>7</v>
      </c>
      <c r="M226" s="19">
        <v>1800</v>
      </c>
      <c r="N226" s="19">
        <v>0.05</v>
      </c>
      <c r="O226" s="19">
        <v>12600</v>
      </c>
      <c r="P226" s="19">
        <v>630</v>
      </c>
      <c r="Q226" s="19">
        <v>11970</v>
      </c>
      <c r="R226" s="19">
        <v>7380.45</v>
      </c>
      <c r="S226" s="19">
        <v>4589.55</v>
      </c>
      <c r="T226" s="21">
        <f>IFERROR(Raw_Data!$S226/Raw_Data!$Q226,0)</f>
        <v>0.38342105263157894</v>
      </c>
      <c r="U226" s="19" t="s">
        <v>54</v>
      </c>
      <c r="V226" s="19" t="s">
        <v>139</v>
      </c>
      <c r="W226" s="19" t="s">
        <v>48</v>
      </c>
      <c r="X226" s="19" t="s">
        <v>36</v>
      </c>
    </row>
    <row r="227" spans="1:24" x14ac:dyDescent="0.35">
      <c r="A227" s="13" t="s">
        <v>214</v>
      </c>
      <c r="B227" s="14">
        <v>45942</v>
      </c>
      <c r="C227" s="4" t="s">
        <v>67</v>
      </c>
      <c r="D227" s="4" t="s">
        <v>68</v>
      </c>
      <c r="E227" s="4" t="s">
        <v>69</v>
      </c>
      <c r="F227" s="4" t="s">
        <v>41</v>
      </c>
      <c r="G227" s="4" t="s">
        <v>28</v>
      </c>
      <c r="H227" s="4" t="s">
        <v>61</v>
      </c>
      <c r="I227" s="4" t="s">
        <v>62</v>
      </c>
      <c r="J227" s="4" t="s">
        <v>45</v>
      </c>
      <c r="K227" s="4" t="s">
        <v>63</v>
      </c>
      <c r="L227" s="15">
        <v>1</v>
      </c>
      <c r="M227" s="4">
        <v>1800</v>
      </c>
      <c r="N227" s="4">
        <v>0.15</v>
      </c>
      <c r="O227" s="4">
        <v>1800</v>
      </c>
      <c r="P227" s="4">
        <v>270</v>
      </c>
      <c r="Q227" s="4">
        <v>1530</v>
      </c>
      <c r="R227" s="4">
        <v>1235.53</v>
      </c>
      <c r="S227" s="4">
        <v>294.47000000000003</v>
      </c>
      <c r="T227" s="16">
        <f>IFERROR(Raw_Data!$S227/Raw_Data!$Q227,0)</f>
        <v>0.19246405228758171</v>
      </c>
      <c r="U227" s="4" t="s">
        <v>54</v>
      </c>
      <c r="V227" s="4" t="s">
        <v>34</v>
      </c>
      <c r="W227" s="4" t="s">
        <v>55</v>
      </c>
      <c r="X227" s="4" t="s">
        <v>36</v>
      </c>
    </row>
    <row r="228" spans="1:24" x14ac:dyDescent="0.35">
      <c r="A228" s="17" t="s">
        <v>257</v>
      </c>
      <c r="B228" s="18">
        <v>45943</v>
      </c>
      <c r="C228" s="19" t="s">
        <v>77</v>
      </c>
      <c r="D228" s="19" t="s">
        <v>78</v>
      </c>
      <c r="E228" s="19" t="s">
        <v>79</v>
      </c>
      <c r="F228" s="19" t="s">
        <v>60</v>
      </c>
      <c r="G228" s="19" t="s">
        <v>28</v>
      </c>
      <c r="H228" s="19" t="s">
        <v>43</v>
      </c>
      <c r="I228" s="19" t="s">
        <v>44</v>
      </c>
      <c r="J228" s="19" t="s">
        <v>45</v>
      </c>
      <c r="K228" s="19" t="s">
        <v>46</v>
      </c>
      <c r="L228" s="20">
        <v>6</v>
      </c>
      <c r="M228" s="19">
        <v>8900</v>
      </c>
      <c r="N228" s="19">
        <v>0</v>
      </c>
      <c r="O228" s="19">
        <v>53400</v>
      </c>
      <c r="P228" s="19">
        <v>0</v>
      </c>
      <c r="Q228" s="19">
        <v>53400</v>
      </c>
      <c r="R228" s="19">
        <v>41105.379999999997</v>
      </c>
      <c r="S228" s="19">
        <v>12294.62</v>
      </c>
      <c r="T228" s="21">
        <f>IFERROR(Raw_Data!$S228/Raw_Data!$Q228,0)</f>
        <v>0.23023632958801499</v>
      </c>
      <c r="U228" s="19" t="s">
        <v>113</v>
      </c>
      <c r="V228" s="19" t="s">
        <v>70</v>
      </c>
      <c r="W228" s="19" t="s">
        <v>35</v>
      </c>
      <c r="X228" s="19" t="s">
        <v>36</v>
      </c>
    </row>
    <row r="229" spans="1:24" x14ac:dyDescent="0.35">
      <c r="A229" s="13" t="s">
        <v>299</v>
      </c>
      <c r="B229" s="14">
        <v>45943</v>
      </c>
      <c r="C229" s="4" t="s">
        <v>57</v>
      </c>
      <c r="D229" s="4" t="s">
        <v>58</v>
      </c>
      <c r="E229" s="4" t="s">
        <v>59</v>
      </c>
      <c r="F229" s="4" t="s">
        <v>60</v>
      </c>
      <c r="G229" s="4" t="s">
        <v>42</v>
      </c>
      <c r="H229" s="4" t="s">
        <v>80</v>
      </c>
      <c r="I229" s="4" t="s">
        <v>81</v>
      </c>
      <c r="J229" s="4" t="s">
        <v>31</v>
      </c>
      <c r="K229" s="4" t="s">
        <v>82</v>
      </c>
      <c r="L229" s="15">
        <v>7</v>
      </c>
      <c r="M229" s="4">
        <v>62000</v>
      </c>
      <c r="N229" s="4">
        <v>0.05</v>
      </c>
      <c r="O229" s="4">
        <v>434000</v>
      </c>
      <c r="P229" s="4">
        <v>21700</v>
      </c>
      <c r="Q229" s="4">
        <v>0</v>
      </c>
      <c r="R229" s="4">
        <v>264069.49</v>
      </c>
      <c r="S229" s="4">
        <v>0</v>
      </c>
      <c r="T229" s="16">
        <f>IFERROR(Raw_Data!$S229/Raw_Data!$Q229,0)</f>
        <v>0</v>
      </c>
      <c r="U229" s="4" t="s">
        <v>33</v>
      </c>
      <c r="V229" s="4" t="s">
        <v>88</v>
      </c>
      <c r="W229" s="4" t="s">
        <v>65</v>
      </c>
      <c r="X229" s="4" t="s">
        <v>75</v>
      </c>
    </row>
    <row r="230" spans="1:24" x14ac:dyDescent="0.35">
      <c r="A230" s="17" t="s">
        <v>429</v>
      </c>
      <c r="B230" s="18">
        <v>45946</v>
      </c>
      <c r="C230" s="19" t="s">
        <v>67</v>
      </c>
      <c r="D230" s="19" t="s">
        <v>68</v>
      </c>
      <c r="E230" s="19" t="s">
        <v>69</v>
      </c>
      <c r="F230" s="19" t="s">
        <v>41</v>
      </c>
      <c r="G230" s="19" t="s">
        <v>28</v>
      </c>
      <c r="H230" s="19" t="s">
        <v>29</v>
      </c>
      <c r="I230" s="19" t="s">
        <v>30</v>
      </c>
      <c r="J230" s="19" t="s">
        <v>31</v>
      </c>
      <c r="K230" s="19" t="s">
        <v>32</v>
      </c>
      <c r="L230" s="20">
        <v>7</v>
      </c>
      <c r="M230" s="19">
        <v>78000</v>
      </c>
      <c r="N230" s="19">
        <v>0.05</v>
      </c>
      <c r="O230" s="19">
        <v>546000</v>
      </c>
      <c r="P230" s="19">
        <v>27300</v>
      </c>
      <c r="Q230" s="19">
        <v>518700</v>
      </c>
      <c r="R230" s="19">
        <v>421066.15</v>
      </c>
      <c r="S230" s="19">
        <v>97633.85</v>
      </c>
      <c r="T230" s="21">
        <f>IFERROR(Raw_Data!$S230/Raw_Data!$Q230,0)</f>
        <v>0.18822797378060538</v>
      </c>
      <c r="U230" s="19" t="s">
        <v>54</v>
      </c>
      <c r="V230" s="19" t="s">
        <v>47</v>
      </c>
      <c r="W230" s="19" t="s">
        <v>35</v>
      </c>
      <c r="X230" s="19" t="s">
        <v>36</v>
      </c>
    </row>
    <row r="231" spans="1:24" x14ac:dyDescent="0.35">
      <c r="A231" s="13" t="s">
        <v>209</v>
      </c>
      <c r="B231" s="14">
        <v>45947</v>
      </c>
      <c r="C231" s="4" t="s">
        <v>67</v>
      </c>
      <c r="D231" s="4" t="s">
        <v>68</v>
      </c>
      <c r="E231" s="4" t="s">
        <v>69</v>
      </c>
      <c r="F231" s="4" t="s">
        <v>41</v>
      </c>
      <c r="G231" s="4" t="s">
        <v>28</v>
      </c>
      <c r="H231" s="4" t="s">
        <v>80</v>
      </c>
      <c r="I231" s="4" t="s">
        <v>81</v>
      </c>
      <c r="J231" s="4" t="s">
        <v>31</v>
      </c>
      <c r="K231" s="4" t="s">
        <v>82</v>
      </c>
      <c r="L231" s="15">
        <v>1</v>
      </c>
      <c r="M231" s="4">
        <v>62000</v>
      </c>
      <c r="N231" s="4">
        <v>0.05</v>
      </c>
      <c r="O231" s="4">
        <v>62000</v>
      </c>
      <c r="P231" s="4">
        <v>3100</v>
      </c>
      <c r="Q231" s="4">
        <v>0</v>
      </c>
      <c r="R231" s="4">
        <v>41692.89</v>
      </c>
      <c r="S231" s="4">
        <v>0</v>
      </c>
      <c r="T231" s="16">
        <f>IFERROR(Raw_Data!$S231/Raw_Data!$Q231,0)</f>
        <v>0</v>
      </c>
      <c r="U231" s="4" t="s">
        <v>113</v>
      </c>
      <c r="V231" s="4" t="s">
        <v>47</v>
      </c>
      <c r="W231" s="4" t="s">
        <v>65</v>
      </c>
      <c r="X231" s="4" t="s">
        <v>75</v>
      </c>
    </row>
    <row r="232" spans="1:24" x14ac:dyDescent="0.35">
      <c r="A232" s="17" t="s">
        <v>280</v>
      </c>
      <c r="B232" s="18">
        <v>45947</v>
      </c>
      <c r="C232" s="19" t="s">
        <v>105</v>
      </c>
      <c r="D232" s="19" t="s">
        <v>106</v>
      </c>
      <c r="E232" s="19" t="s">
        <v>107</v>
      </c>
      <c r="F232" s="19" t="s">
        <v>108</v>
      </c>
      <c r="G232" s="19" t="s">
        <v>28</v>
      </c>
      <c r="H232" s="19" t="s">
        <v>118</v>
      </c>
      <c r="I232" s="19" t="s">
        <v>119</v>
      </c>
      <c r="J232" s="19" t="s">
        <v>31</v>
      </c>
      <c r="K232" s="19" t="s">
        <v>120</v>
      </c>
      <c r="L232" s="20">
        <v>7</v>
      </c>
      <c r="M232" s="19">
        <v>14500</v>
      </c>
      <c r="N232" s="19">
        <v>0</v>
      </c>
      <c r="O232" s="19">
        <v>101500</v>
      </c>
      <c r="P232" s="19">
        <v>0</v>
      </c>
      <c r="Q232" s="19">
        <v>0</v>
      </c>
      <c r="R232" s="19">
        <v>62326.07</v>
      </c>
      <c r="S232" s="19">
        <v>0</v>
      </c>
      <c r="T232" s="21">
        <f>IFERROR(Raw_Data!$S232/Raw_Data!$Q232,0)</f>
        <v>0</v>
      </c>
      <c r="U232" s="19" t="s">
        <v>54</v>
      </c>
      <c r="V232" s="19" t="s">
        <v>47</v>
      </c>
      <c r="W232" s="19" t="s">
        <v>48</v>
      </c>
      <c r="X232" s="19" t="s">
        <v>75</v>
      </c>
    </row>
    <row r="233" spans="1:24" x14ac:dyDescent="0.35">
      <c r="A233" s="13" t="s">
        <v>140</v>
      </c>
      <c r="B233" s="14">
        <v>45950</v>
      </c>
      <c r="C233" s="4" t="s">
        <v>51</v>
      </c>
      <c r="D233" s="4" t="s">
        <v>52</v>
      </c>
      <c r="E233" s="4" t="s">
        <v>53</v>
      </c>
      <c r="F233" s="4" t="s">
        <v>27</v>
      </c>
      <c r="G233" s="4" t="s">
        <v>28</v>
      </c>
      <c r="H233" s="4" t="s">
        <v>118</v>
      </c>
      <c r="I233" s="4" t="s">
        <v>119</v>
      </c>
      <c r="J233" s="4" t="s">
        <v>31</v>
      </c>
      <c r="K233" s="4" t="s">
        <v>120</v>
      </c>
      <c r="L233" s="15">
        <v>8</v>
      </c>
      <c r="M233" s="4">
        <v>14500</v>
      </c>
      <c r="N233" s="4">
        <v>0</v>
      </c>
      <c r="O233" s="4">
        <v>116000</v>
      </c>
      <c r="P233" s="4">
        <v>0</v>
      </c>
      <c r="Q233" s="4">
        <v>116000</v>
      </c>
      <c r="R233" s="4">
        <v>89123.8</v>
      </c>
      <c r="S233" s="4">
        <v>26876.2</v>
      </c>
      <c r="T233" s="16">
        <f>IFERROR(Raw_Data!$S233/Raw_Data!$Q233,0)</f>
        <v>0.23169137931034484</v>
      </c>
      <c r="U233" s="4" t="s">
        <v>54</v>
      </c>
      <c r="V233" s="4" t="s">
        <v>47</v>
      </c>
      <c r="W233" s="4" t="s">
        <v>35</v>
      </c>
      <c r="X233" s="4" t="s">
        <v>36</v>
      </c>
    </row>
    <row r="234" spans="1:24" x14ac:dyDescent="0.35">
      <c r="A234" s="17" t="s">
        <v>278</v>
      </c>
      <c r="B234" s="18">
        <v>45951</v>
      </c>
      <c r="C234" s="19" t="s">
        <v>24</v>
      </c>
      <c r="D234" s="19" t="s">
        <v>25</v>
      </c>
      <c r="E234" s="19" t="s">
        <v>26</v>
      </c>
      <c r="F234" s="19" t="s">
        <v>27</v>
      </c>
      <c r="G234" s="19" t="s">
        <v>28</v>
      </c>
      <c r="H234" s="19" t="s">
        <v>61</v>
      </c>
      <c r="I234" s="19" t="s">
        <v>62</v>
      </c>
      <c r="J234" s="19" t="s">
        <v>45</v>
      </c>
      <c r="K234" s="19" t="s">
        <v>63</v>
      </c>
      <c r="L234" s="20">
        <v>4</v>
      </c>
      <c r="M234" s="19">
        <v>1800</v>
      </c>
      <c r="N234" s="19">
        <v>0.1</v>
      </c>
      <c r="O234" s="19">
        <v>7200</v>
      </c>
      <c r="P234" s="19">
        <v>720</v>
      </c>
      <c r="Q234" s="19">
        <v>-6480</v>
      </c>
      <c r="R234" s="19">
        <v>5072.79</v>
      </c>
      <c r="S234" s="19">
        <v>-1407.21</v>
      </c>
      <c r="T234" s="21">
        <f>IFERROR(Raw_Data!$S234/Raw_Data!$Q234,0)</f>
        <v>0.21716203703703704</v>
      </c>
      <c r="U234" s="19" t="s">
        <v>33</v>
      </c>
      <c r="V234" s="19" t="s">
        <v>34</v>
      </c>
      <c r="W234" s="19" t="s">
        <v>35</v>
      </c>
      <c r="X234" s="19" t="s">
        <v>49</v>
      </c>
    </row>
    <row r="235" spans="1:24" x14ac:dyDescent="0.35">
      <c r="A235" s="13" t="s">
        <v>333</v>
      </c>
      <c r="B235" s="14">
        <v>45951</v>
      </c>
      <c r="C235" s="4" t="s">
        <v>176</v>
      </c>
      <c r="D235" s="4" t="s">
        <v>177</v>
      </c>
      <c r="E235" s="4" t="s">
        <v>178</v>
      </c>
      <c r="F235" s="4" t="s">
        <v>108</v>
      </c>
      <c r="G235" s="4" t="s">
        <v>28</v>
      </c>
      <c r="H235" s="4" t="s">
        <v>110</v>
      </c>
      <c r="I235" s="4" t="s">
        <v>111</v>
      </c>
      <c r="J235" s="4" t="s">
        <v>101</v>
      </c>
      <c r="K235" s="4" t="s">
        <v>112</v>
      </c>
      <c r="L235" s="15">
        <v>6</v>
      </c>
      <c r="M235" s="4">
        <v>22000</v>
      </c>
      <c r="N235" s="4">
        <v>0.1</v>
      </c>
      <c r="O235" s="4">
        <v>132000</v>
      </c>
      <c r="P235" s="4">
        <v>13200</v>
      </c>
      <c r="Q235" s="4">
        <v>-118800</v>
      </c>
      <c r="R235" s="4">
        <v>91818</v>
      </c>
      <c r="S235" s="4">
        <v>-26982</v>
      </c>
      <c r="T235" s="16">
        <f>IFERROR(Raw_Data!$S235/Raw_Data!$Q235,0)</f>
        <v>0.22712121212121211</v>
      </c>
      <c r="U235" s="4" t="s">
        <v>54</v>
      </c>
      <c r="V235" s="4" t="s">
        <v>70</v>
      </c>
      <c r="W235" s="4" t="s">
        <v>35</v>
      </c>
      <c r="X235" s="4" t="s">
        <v>49</v>
      </c>
    </row>
    <row r="236" spans="1:24" x14ac:dyDescent="0.35">
      <c r="A236" s="17" t="s">
        <v>361</v>
      </c>
      <c r="B236" s="18">
        <v>45951</v>
      </c>
      <c r="C236" s="19" t="s">
        <v>131</v>
      </c>
      <c r="D236" s="19" t="s">
        <v>132</v>
      </c>
      <c r="E236" s="19" t="s">
        <v>133</v>
      </c>
      <c r="F236" s="19" t="s">
        <v>27</v>
      </c>
      <c r="G236" s="19" t="s">
        <v>28</v>
      </c>
      <c r="H236" s="19" t="s">
        <v>80</v>
      </c>
      <c r="I236" s="19" t="s">
        <v>81</v>
      </c>
      <c r="J236" s="19" t="s">
        <v>31</v>
      </c>
      <c r="K236" s="19" t="s">
        <v>82</v>
      </c>
      <c r="L236" s="20">
        <v>7</v>
      </c>
      <c r="M236" s="19">
        <v>62000</v>
      </c>
      <c r="N236" s="19">
        <v>0.1</v>
      </c>
      <c r="O236" s="19">
        <v>434000</v>
      </c>
      <c r="P236" s="19">
        <v>43400</v>
      </c>
      <c r="Q236" s="19">
        <v>390600</v>
      </c>
      <c r="R236" s="19">
        <v>303265.98</v>
      </c>
      <c r="S236" s="19">
        <v>87334.02</v>
      </c>
      <c r="T236" s="21">
        <f>IFERROR(Raw_Data!$S236/Raw_Data!$Q236,0)</f>
        <v>0.22358940092165899</v>
      </c>
      <c r="U236" s="19" t="s">
        <v>113</v>
      </c>
      <c r="V236" s="19" t="s">
        <v>47</v>
      </c>
      <c r="W236" s="19" t="s">
        <v>65</v>
      </c>
      <c r="X236" s="19" t="s">
        <v>36</v>
      </c>
    </row>
    <row r="237" spans="1:24" x14ac:dyDescent="0.35">
      <c r="A237" s="13" t="s">
        <v>71</v>
      </c>
      <c r="B237" s="14">
        <v>45953</v>
      </c>
      <c r="C237" s="4" t="s">
        <v>67</v>
      </c>
      <c r="D237" s="4" t="s">
        <v>68</v>
      </c>
      <c r="E237" s="4" t="s">
        <v>69</v>
      </c>
      <c r="F237" s="4" t="s">
        <v>41</v>
      </c>
      <c r="G237" s="4" t="s">
        <v>28</v>
      </c>
      <c r="H237" s="4" t="s">
        <v>72</v>
      </c>
      <c r="I237" s="4" t="s">
        <v>73</v>
      </c>
      <c r="J237" s="4" t="s">
        <v>45</v>
      </c>
      <c r="K237" s="4" t="s">
        <v>74</v>
      </c>
      <c r="L237" s="15">
        <v>4</v>
      </c>
      <c r="M237" s="4">
        <v>4200</v>
      </c>
      <c r="N237" s="4">
        <v>0.2</v>
      </c>
      <c r="O237" s="4">
        <v>16800</v>
      </c>
      <c r="P237" s="4">
        <v>3360</v>
      </c>
      <c r="Q237" s="4">
        <v>0</v>
      </c>
      <c r="R237" s="4">
        <v>8019.56</v>
      </c>
      <c r="S237" s="4">
        <v>0</v>
      </c>
      <c r="T237" s="16">
        <f>IFERROR(Raw_Data!$S237/Raw_Data!$Q237,0)</f>
        <v>0</v>
      </c>
      <c r="U237" s="4" t="s">
        <v>54</v>
      </c>
      <c r="V237" s="4" t="s">
        <v>64</v>
      </c>
      <c r="W237" s="4" t="s">
        <v>35</v>
      </c>
      <c r="X237" s="4" t="s">
        <v>75</v>
      </c>
    </row>
    <row r="238" spans="1:24" x14ac:dyDescent="0.35">
      <c r="A238" s="17" t="s">
        <v>355</v>
      </c>
      <c r="B238" s="18">
        <v>45953</v>
      </c>
      <c r="C238" s="19" t="s">
        <v>170</v>
      </c>
      <c r="D238" s="19" t="s">
        <v>171</v>
      </c>
      <c r="E238" s="19" t="s">
        <v>172</v>
      </c>
      <c r="F238" s="19" t="s">
        <v>27</v>
      </c>
      <c r="G238" s="19" t="s">
        <v>97</v>
      </c>
      <c r="H238" s="19" t="s">
        <v>162</v>
      </c>
      <c r="I238" s="19" t="s">
        <v>163</v>
      </c>
      <c r="J238" s="19" t="s">
        <v>31</v>
      </c>
      <c r="K238" s="19" t="s">
        <v>164</v>
      </c>
      <c r="L238" s="20">
        <v>4</v>
      </c>
      <c r="M238" s="19">
        <v>16500</v>
      </c>
      <c r="N238" s="19">
        <v>0.2</v>
      </c>
      <c r="O238" s="19">
        <v>66000</v>
      </c>
      <c r="P238" s="19">
        <v>13200</v>
      </c>
      <c r="Q238" s="19">
        <v>52800</v>
      </c>
      <c r="R238" s="19">
        <v>31274.77</v>
      </c>
      <c r="S238" s="19">
        <v>21525.23</v>
      </c>
      <c r="T238" s="21">
        <f>IFERROR(Raw_Data!$S238/Raw_Data!$Q238,0)</f>
        <v>0.40767481060606059</v>
      </c>
      <c r="U238" s="19" t="s">
        <v>54</v>
      </c>
      <c r="V238" s="19" t="s">
        <v>70</v>
      </c>
      <c r="W238" s="19" t="s">
        <v>55</v>
      </c>
      <c r="X238" s="19" t="s">
        <v>36</v>
      </c>
    </row>
    <row r="239" spans="1:24" x14ac:dyDescent="0.35">
      <c r="A239" s="13" t="s">
        <v>184</v>
      </c>
      <c r="B239" s="14">
        <v>45955</v>
      </c>
      <c r="C239" s="4" t="s">
        <v>170</v>
      </c>
      <c r="D239" s="4" t="s">
        <v>171</v>
      </c>
      <c r="E239" s="4" t="s">
        <v>172</v>
      </c>
      <c r="F239" s="4" t="s">
        <v>27</v>
      </c>
      <c r="G239" s="4" t="s">
        <v>97</v>
      </c>
      <c r="H239" s="4" t="s">
        <v>118</v>
      </c>
      <c r="I239" s="4" t="s">
        <v>119</v>
      </c>
      <c r="J239" s="4" t="s">
        <v>31</v>
      </c>
      <c r="K239" s="4" t="s">
        <v>120</v>
      </c>
      <c r="L239" s="15">
        <v>5</v>
      </c>
      <c r="M239" s="4">
        <v>14500</v>
      </c>
      <c r="N239" s="4">
        <v>0</v>
      </c>
      <c r="O239" s="4">
        <v>72500</v>
      </c>
      <c r="P239" s="4">
        <v>0</v>
      </c>
      <c r="Q239" s="4">
        <v>72500</v>
      </c>
      <c r="R239" s="4">
        <v>43936.2</v>
      </c>
      <c r="S239" s="4">
        <v>28563.8</v>
      </c>
      <c r="T239" s="16">
        <f>IFERROR(Raw_Data!$S239/Raw_Data!$Q239,0)</f>
        <v>0.39398344827586207</v>
      </c>
      <c r="U239" s="4" t="s">
        <v>113</v>
      </c>
      <c r="V239" s="4" t="s">
        <v>34</v>
      </c>
      <c r="W239" s="4" t="s">
        <v>65</v>
      </c>
      <c r="X239" s="4" t="s">
        <v>36</v>
      </c>
    </row>
    <row r="240" spans="1:24" x14ac:dyDescent="0.35">
      <c r="A240" s="17" t="s">
        <v>354</v>
      </c>
      <c r="B240" s="18">
        <v>45956</v>
      </c>
      <c r="C240" s="19" t="s">
        <v>24</v>
      </c>
      <c r="D240" s="19" t="s">
        <v>25</v>
      </c>
      <c r="E240" s="19" t="s">
        <v>26</v>
      </c>
      <c r="F240" s="19" t="s">
        <v>27</v>
      </c>
      <c r="G240" s="19" t="s">
        <v>28</v>
      </c>
      <c r="H240" s="19" t="s">
        <v>43</v>
      </c>
      <c r="I240" s="19" t="s">
        <v>44</v>
      </c>
      <c r="J240" s="19" t="s">
        <v>45</v>
      </c>
      <c r="K240" s="19" t="s">
        <v>46</v>
      </c>
      <c r="L240" s="20">
        <v>5</v>
      </c>
      <c r="M240" s="19">
        <v>8900</v>
      </c>
      <c r="N240" s="19">
        <v>0.2</v>
      </c>
      <c r="O240" s="19">
        <v>44500</v>
      </c>
      <c r="P240" s="19">
        <v>8900</v>
      </c>
      <c r="Q240" s="19">
        <v>0</v>
      </c>
      <c r="R240" s="19">
        <v>28099.21</v>
      </c>
      <c r="S240" s="19">
        <v>0</v>
      </c>
      <c r="T240" s="21">
        <f>IFERROR(Raw_Data!$S240/Raw_Data!$Q240,0)</f>
        <v>0</v>
      </c>
      <c r="U240" s="19" t="s">
        <v>54</v>
      </c>
      <c r="V240" s="19" t="s">
        <v>70</v>
      </c>
      <c r="W240" s="19" t="s">
        <v>55</v>
      </c>
      <c r="X240" s="19" t="s">
        <v>75</v>
      </c>
    </row>
    <row r="241" spans="1:24" x14ac:dyDescent="0.35">
      <c r="A241" s="13" t="s">
        <v>377</v>
      </c>
      <c r="B241" s="14">
        <v>45956</v>
      </c>
      <c r="C241" s="4" t="s">
        <v>24</v>
      </c>
      <c r="D241" s="4" t="s">
        <v>25</v>
      </c>
      <c r="E241" s="4" t="s">
        <v>26</v>
      </c>
      <c r="F241" s="4" t="s">
        <v>27</v>
      </c>
      <c r="G241" s="4" t="s">
        <v>28</v>
      </c>
      <c r="H241" s="4" t="s">
        <v>151</v>
      </c>
      <c r="I241" s="4" t="s">
        <v>152</v>
      </c>
      <c r="J241" s="4" t="s">
        <v>45</v>
      </c>
      <c r="K241" s="4" t="s">
        <v>153</v>
      </c>
      <c r="L241" s="15">
        <v>8</v>
      </c>
      <c r="M241" s="4">
        <v>3200</v>
      </c>
      <c r="N241" s="4">
        <v>0</v>
      </c>
      <c r="O241" s="4">
        <v>25600</v>
      </c>
      <c r="P241" s="4">
        <v>0</v>
      </c>
      <c r="Q241" s="4">
        <v>25600</v>
      </c>
      <c r="R241" s="4">
        <v>20370.78</v>
      </c>
      <c r="S241" s="4">
        <v>5229.22</v>
      </c>
      <c r="T241" s="16">
        <f>IFERROR(Raw_Data!$S241/Raw_Data!$Q241,0)</f>
        <v>0.20426640625</v>
      </c>
      <c r="U241" s="4" t="s">
        <v>54</v>
      </c>
      <c r="V241" s="4" t="s">
        <v>139</v>
      </c>
      <c r="W241" s="4" t="s">
        <v>48</v>
      </c>
      <c r="X241" s="4" t="s">
        <v>36</v>
      </c>
    </row>
    <row r="242" spans="1:24" x14ac:dyDescent="0.35">
      <c r="A242" s="17" t="s">
        <v>427</v>
      </c>
      <c r="B242" s="18">
        <v>45956</v>
      </c>
      <c r="C242" s="19" t="s">
        <v>67</v>
      </c>
      <c r="D242" s="19" t="s">
        <v>68</v>
      </c>
      <c r="E242" s="19" t="s">
        <v>69</v>
      </c>
      <c r="F242" s="19" t="s">
        <v>41</v>
      </c>
      <c r="G242" s="19" t="s">
        <v>28</v>
      </c>
      <c r="H242" s="19" t="s">
        <v>99</v>
      </c>
      <c r="I242" s="19" t="s">
        <v>100</v>
      </c>
      <c r="J242" s="19" t="s">
        <v>101</v>
      </c>
      <c r="K242" s="19" t="s">
        <v>102</v>
      </c>
      <c r="L242" s="20">
        <v>7</v>
      </c>
      <c r="M242" s="19">
        <v>12500</v>
      </c>
      <c r="N242" s="19">
        <v>0.15</v>
      </c>
      <c r="O242" s="19">
        <v>87500</v>
      </c>
      <c r="P242" s="19">
        <v>13125</v>
      </c>
      <c r="Q242" s="19">
        <v>0</v>
      </c>
      <c r="R242" s="19">
        <v>52180.54</v>
      </c>
      <c r="S242" s="19">
        <v>0</v>
      </c>
      <c r="T242" s="21">
        <f>IFERROR(Raw_Data!$S242/Raw_Data!$Q242,0)</f>
        <v>0</v>
      </c>
      <c r="U242" s="19" t="s">
        <v>113</v>
      </c>
      <c r="V242" s="19" t="s">
        <v>70</v>
      </c>
      <c r="W242" s="19" t="s">
        <v>35</v>
      </c>
      <c r="X242" s="19" t="s">
        <v>75</v>
      </c>
    </row>
    <row r="243" spans="1:24" x14ac:dyDescent="0.35">
      <c r="A243" s="13" t="s">
        <v>159</v>
      </c>
      <c r="B243" s="14">
        <v>45957</v>
      </c>
      <c r="C243" s="4" t="s">
        <v>146</v>
      </c>
      <c r="D243" s="4" t="s">
        <v>147</v>
      </c>
      <c r="E243" s="4" t="s">
        <v>148</v>
      </c>
      <c r="F243" s="4" t="s">
        <v>87</v>
      </c>
      <c r="G243" s="4" t="s">
        <v>28</v>
      </c>
      <c r="H243" s="4" t="s">
        <v>29</v>
      </c>
      <c r="I243" s="4" t="s">
        <v>30</v>
      </c>
      <c r="J243" s="4" t="s">
        <v>31</v>
      </c>
      <c r="K243" s="4" t="s">
        <v>32</v>
      </c>
      <c r="L243" s="15">
        <v>8</v>
      </c>
      <c r="M243" s="4">
        <v>78000</v>
      </c>
      <c r="N243" s="4">
        <v>0.15</v>
      </c>
      <c r="O243" s="4">
        <v>624000</v>
      </c>
      <c r="P243" s="4">
        <v>93600</v>
      </c>
      <c r="Q243" s="4">
        <v>-530400</v>
      </c>
      <c r="R243" s="4">
        <v>424666.3</v>
      </c>
      <c r="S243" s="4">
        <v>-105733.7</v>
      </c>
      <c r="T243" s="16">
        <f>IFERROR(Raw_Data!$S243/Raw_Data!$Q243,0)</f>
        <v>0.19934709653092006</v>
      </c>
      <c r="U243" s="4" t="s">
        <v>54</v>
      </c>
      <c r="V243" s="4" t="s">
        <v>47</v>
      </c>
      <c r="W243" s="4" t="s">
        <v>35</v>
      </c>
      <c r="X243" s="4" t="s">
        <v>49</v>
      </c>
    </row>
    <row r="244" spans="1:24" x14ac:dyDescent="0.35">
      <c r="A244" s="17" t="s">
        <v>439</v>
      </c>
      <c r="B244" s="18">
        <v>45960</v>
      </c>
      <c r="C244" s="19" t="s">
        <v>131</v>
      </c>
      <c r="D244" s="19" t="s">
        <v>132</v>
      </c>
      <c r="E244" s="19" t="s">
        <v>133</v>
      </c>
      <c r="F244" s="19" t="s">
        <v>27</v>
      </c>
      <c r="G244" s="19" t="s">
        <v>28</v>
      </c>
      <c r="H244" s="19" t="s">
        <v>162</v>
      </c>
      <c r="I244" s="19" t="s">
        <v>163</v>
      </c>
      <c r="J244" s="19" t="s">
        <v>31</v>
      </c>
      <c r="K244" s="19" t="s">
        <v>164</v>
      </c>
      <c r="L244" s="20">
        <v>2</v>
      </c>
      <c r="M244" s="19">
        <v>16500</v>
      </c>
      <c r="N244" s="19">
        <v>0.2</v>
      </c>
      <c r="O244" s="19">
        <v>33000</v>
      </c>
      <c r="P244" s="19">
        <v>6600</v>
      </c>
      <c r="Q244" s="19">
        <v>26400</v>
      </c>
      <c r="R244" s="19">
        <v>16160.69</v>
      </c>
      <c r="S244" s="19">
        <v>10239.31</v>
      </c>
      <c r="T244" s="21">
        <f>IFERROR(Raw_Data!$S244/Raw_Data!$Q244,0)</f>
        <v>0.38785265151515147</v>
      </c>
      <c r="U244" s="19" t="s">
        <v>54</v>
      </c>
      <c r="V244" s="19" t="s">
        <v>64</v>
      </c>
      <c r="W244" s="19" t="s">
        <v>35</v>
      </c>
      <c r="X244" s="19" t="s">
        <v>36</v>
      </c>
    </row>
    <row r="245" spans="1:24" x14ac:dyDescent="0.35">
      <c r="A245" s="13" t="s">
        <v>160</v>
      </c>
      <c r="B245" s="14">
        <v>45962</v>
      </c>
      <c r="C245" s="4" t="s">
        <v>105</v>
      </c>
      <c r="D245" s="4" t="s">
        <v>106</v>
      </c>
      <c r="E245" s="4" t="s">
        <v>107</v>
      </c>
      <c r="F245" s="4" t="s">
        <v>108</v>
      </c>
      <c r="G245" s="4" t="s">
        <v>28</v>
      </c>
      <c r="H245" s="4" t="s">
        <v>80</v>
      </c>
      <c r="I245" s="4" t="s">
        <v>81</v>
      </c>
      <c r="J245" s="4" t="s">
        <v>31</v>
      </c>
      <c r="K245" s="4" t="s">
        <v>82</v>
      </c>
      <c r="L245" s="15">
        <v>2</v>
      </c>
      <c r="M245" s="4">
        <v>62000</v>
      </c>
      <c r="N245" s="4">
        <v>0.2</v>
      </c>
      <c r="O245" s="4">
        <v>124000</v>
      </c>
      <c r="P245" s="4">
        <v>24800</v>
      </c>
      <c r="Q245" s="4">
        <v>99200</v>
      </c>
      <c r="R245" s="4">
        <v>78054.19</v>
      </c>
      <c r="S245" s="4">
        <v>21145.81</v>
      </c>
      <c r="T245" s="16">
        <f>IFERROR(Raw_Data!$S245/Raw_Data!$Q245,0)</f>
        <v>0.21316340725806454</v>
      </c>
      <c r="U245" s="4" t="s">
        <v>54</v>
      </c>
      <c r="V245" s="4" t="s">
        <v>70</v>
      </c>
      <c r="W245" s="4" t="s">
        <v>48</v>
      </c>
      <c r="X245" s="4" t="s">
        <v>36</v>
      </c>
    </row>
    <row r="246" spans="1:24" x14ac:dyDescent="0.35">
      <c r="A246" s="17" t="s">
        <v>295</v>
      </c>
      <c r="B246" s="18">
        <v>45962</v>
      </c>
      <c r="C246" s="19" t="s">
        <v>135</v>
      </c>
      <c r="D246" s="19" t="s">
        <v>136</v>
      </c>
      <c r="E246" s="19" t="s">
        <v>137</v>
      </c>
      <c r="F246" s="19" t="s">
        <v>27</v>
      </c>
      <c r="G246" s="19" t="s">
        <v>97</v>
      </c>
      <c r="H246" s="19" t="s">
        <v>162</v>
      </c>
      <c r="I246" s="19" t="s">
        <v>163</v>
      </c>
      <c r="J246" s="19" t="s">
        <v>31</v>
      </c>
      <c r="K246" s="19" t="s">
        <v>164</v>
      </c>
      <c r="L246" s="20">
        <v>7</v>
      </c>
      <c r="M246" s="19">
        <v>16500</v>
      </c>
      <c r="N246" s="19">
        <v>0.1</v>
      </c>
      <c r="O246" s="19">
        <v>115500</v>
      </c>
      <c r="P246" s="19">
        <v>11550</v>
      </c>
      <c r="Q246" s="19">
        <v>0</v>
      </c>
      <c r="R246" s="19">
        <v>74769.06</v>
      </c>
      <c r="S246" s="19">
        <v>0</v>
      </c>
      <c r="T246" s="21">
        <f>IFERROR(Raw_Data!$S246/Raw_Data!$Q246,0)</f>
        <v>0</v>
      </c>
      <c r="U246" s="19" t="s">
        <v>54</v>
      </c>
      <c r="V246" s="19" t="s">
        <v>139</v>
      </c>
      <c r="W246" s="19" t="s">
        <v>48</v>
      </c>
      <c r="X246" s="19" t="s">
        <v>75</v>
      </c>
    </row>
    <row r="247" spans="1:24" x14ac:dyDescent="0.35">
      <c r="A247" s="13" t="s">
        <v>428</v>
      </c>
      <c r="B247" s="14">
        <v>45962</v>
      </c>
      <c r="C247" s="4" t="s">
        <v>176</v>
      </c>
      <c r="D247" s="4" t="s">
        <v>177</v>
      </c>
      <c r="E247" s="4" t="s">
        <v>178</v>
      </c>
      <c r="F247" s="4" t="s">
        <v>108</v>
      </c>
      <c r="G247" s="4" t="s">
        <v>28</v>
      </c>
      <c r="H247" s="4" t="s">
        <v>110</v>
      </c>
      <c r="I247" s="4" t="s">
        <v>111</v>
      </c>
      <c r="J247" s="4" t="s">
        <v>101</v>
      </c>
      <c r="K247" s="4" t="s">
        <v>112</v>
      </c>
      <c r="L247" s="15">
        <v>2</v>
      </c>
      <c r="M247" s="4">
        <v>22000</v>
      </c>
      <c r="N247" s="4">
        <v>0</v>
      </c>
      <c r="O247" s="4">
        <v>44000</v>
      </c>
      <c r="P247" s="4">
        <v>0</v>
      </c>
      <c r="Q247" s="4">
        <v>0</v>
      </c>
      <c r="R247" s="4">
        <v>33640.15</v>
      </c>
      <c r="S247" s="4">
        <v>0</v>
      </c>
      <c r="T247" s="16">
        <f>IFERROR(Raw_Data!$S247/Raw_Data!$Q247,0)</f>
        <v>0</v>
      </c>
      <c r="U247" s="4" t="s">
        <v>33</v>
      </c>
      <c r="V247" s="4" t="s">
        <v>64</v>
      </c>
      <c r="W247" s="4" t="s">
        <v>48</v>
      </c>
      <c r="X247" s="4" t="s">
        <v>75</v>
      </c>
    </row>
    <row r="248" spans="1:24" x14ac:dyDescent="0.35">
      <c r="A248" s="17" t="s">
        <v>104</v>
      </c>
      <c r="B248" s="18">
        <v>45963</v>
      </c>
      <c r="C248" s="19" t="s">
        <v>105</v>
      </c>
      <c r="D248" s="19" t="s">
        <v>106</v>
      </c>
      <c r="E248" s="19" t="s">
        <v>107</v>
      </c>
      <c r="F248" s="19" t="s">
        <v>108</v>
      </c>
      <c r="G248" s="19" t="s">
        <v>28</v>
      </c>
      <c r="H248" s="19" t="s">
        <v>43</v>
      </c>
      <c r="I248" s="19" t="s">
        <v>44</v>
      </c>
      <c r="J248" s="19" t="s">
        <v>45</v>
      </c>
      <c r="K248" s="19" t="s">
        <v>46</v>
      </c>
      <c r="L248" s="20">
        <v>2</v>
      </c>
      <c r="M248" s="19">
        <v>8900</v>
      </c>
      <c r="N248" s="19">
        <v>0.1</v>
      </c>
      <c r="O248" s="19">
        <v>17800</v>
      </c>
      <c r="P248" s="19">
        <v>1780</v>
      </c>
      <c r="Q248" s="19">
        <v>16020</v>
      </c>
      <c r="R248" s="19">
        <v>10758.85</v>
      </c>
      <c r="S248" s="19">
        <v>5261.15</v>
      </c>
      <c r="T248" s="21">
        <f>IFERROR(Raw_Data!$S248/Raw_Data!$Q248,0)</f>
        <v>0.32841136079900124</v>
      </c>
      <c r="U248" s="19" t="s">
        <v>33</v>
      </c>
      <c r="V248" s="19" t="s">
        <v>64</v>
      </c>
      <c r="W248" s="19" t="s">
        <v>35</v>
      </c>
      <c r="X248" s="19" t="s">
        <v>36</v>
      </c>
    </row>
    <row r="249" spans="1:24" x14ac:dyDescent="0.35">
      <c r="A249" s="13" t="s">
        <v>239</v>
      </c>
      <c r="B249" s="14">
        <v>45964</v>
      </c>
      <c r="C249" s="4" t="s">
        <v>94</v>
      </c>
      <c r="D249" s="4" t="s">
        <v>95</v>
      </c>
      <c r="E249" s="4" t="s">
        <v>96</v>
      </c>
      <c r="F249" s="4" t="s">
        <v>60</v>
      </c>
      <c r="G249" s="4" t="s">
        <v>97</v>
      </c>
      <c r="H249" s="4" t="s">
        <v>151</v>
      </c>
      <c r="I249" s="4" t="s">
        <v>152</v>
      </c>
      <c r="J249" s="4" t="s">
        <v>45</v>
      </c>
      <c r="K249" s="4" t="s">
        <v>153</v>
      </c>
      <c r="L249" s="15">
        <v>3</v>
      </c>
      <c r="M249" s="4">
        <v>3200</v>
      </c>
      <c r="N249" s="4">
        <v>0</v>
      </c>
      <c r="O249" s="4">
        <v>9600</v>
      </c>
      <c r="P249" s="4">
        <v>0</v>
      </c>
      <c r="Q249" s="4">
        <v>9600</v>
      </c>
      <c r="R249" s="4">
        <v>6204.47</v>
      </c>
      <c r="S249" s="4">
        <v>3395.53</v>
      </c>
      <c r="T249" s="16">
        <f>IFERROR(Raw_Data!$S249/Raw_Data!$Q249,0)</f>
        <v>0.35370104166666666</v>
      </c>
      <c r="U249" s="4" t="s">
        <v>113</v>
      </c>
      <c r="V249" s="4" t="s">
        <v>70</v>
      </c>
      <c r="W249" s="4" t="s">
        <v>65</v>
      </c>
      <c r="X249" s="4" t="s">
        <v>36</v>
      </c>
    </row>
    <row r="250" spans="1:24" x14ac:dyDescent="0.35">
      <c r="A250" s="17" t="s">
        <v>323</v>
      </c>
      <c r="B250" s="18">
        <v>45966</v>
      </c>
      <c r="C250" s="19" t="s">
        <v>135</v>
      </c>
      <c r="D250" s="19" t="s">
        <v>136</v>
      </c>
      <c r="E250" s="19" t="s">
        <v>137</v>
      </c>
      <c r="F250" s="19" t="s">
        <v>27</v>
      </c>
      <c r="G250" s="19" t="s">
        <v>97</v>
      </c>
      <c r="H250" s="19" t="s">
        <v>43</v>
      </c>
      <c r="I250" s="19" t="s">
        <v>44</v>
      </c>
      <c r="J250" s="19" t="s">
        <v>45</v>
      </c>
      <c r="K250" s="19" t="s">
        <v>46</v>
      </c>
      <c r="L250" s="20">
        <v>3</v>
      </c>
      <c r="M250" s="19">
        <v>8900</v>
      </c>
      <c r="N250" s="19">
        <v>0.15</v>
      </c>
      <c r="O250" s="19">
        <v>26700</v>
      </c>
      <c r="P250" s="19">
        <v>4005</v>
      </c>
      <c r="Q250" s="19">
        <v>22695</v>
      </c>
      <c r="R250" s="19">
        <v>14763.19</v>
      </c>
      <c r="S250" s="19">
        <v>7931.81</v>
      </c>
      <c r="T250" s="21">
        <f>IFERROR(Raw_Data!$S250/Raw_Data!$Q250,0)</f>
        <v>0.34949592421238163</v>
      </c>
      <c r="U250" s="19" t="s">
        <v>54</v>
      </c>
      <c r="V250" s="19" t="s">
        <v>64</v>
      </c>
      <c r="W250" s="19" t="s">
        <v>65</v>
      </c>
      <c r="X250" s="19" t="s">
        <v>36</v>
      </c>
    </row>
    <row r="251" spans="1:24" x14ac:dyDescent="0.35">
      <c r="A251" s="13" t="s">
        <v>324</v>
      </c>
      <c r="B251" s="14">
        <v>45966</v>
      </c>
      <c r="C251" s="4" t="s">
        <v>131</v>
      </c>
      <c r="D251" s="4" t="s">
        <v>132</v>
      </c>
      <c r="E251" s="4" t="s">
        <v>133</v>
      </c>
      <c r="F251" s="4" t="s">
        <v>27</v>
      </c>
      <c r="G251" s="4" t="s">
        <v>28</v>
      </c>
      <c r="H251" s="4" t="s">
        <v>99</v>
      </c>
      <c r="I251" s="4" t="s">
        <v>100</v>
      </c>
      <c r="J251" s="4" t="s">
        <v>101</v>
      </c>
      <c r="K251" s="4" t="s">
        <v>102</v>
      </c>
      <c r="L251" s="15">
        <v>7</v>
      </c>
      <c r="M251" s="4">
        <v>12500</v>
      </c>
      <c r="N251" s="4">
        <v>0</v>
      </c>
      <c r="O251" s="4">
        <v>87500</v>
      </c>
      <c r="P251" s="4">
        <v>0</v>
      </c>
      <c r="Q251" s="4">
        <v>87500</v>
      </c>
      <c r="R251" s="4">
        <v>65235.06</v>
      </c>
      <c r="S251" s="4">
        <v>22264.94</v>
      </c>
      <c r="T251" s="16">
        <f>IFERROR(Raw_Data!$S251/Raw_Data!$Q251,0)</f>
        <v>0.25445645714285714</v>
      </c>
      <c r="U251" s="4" t="s">
        <v>113</v>
      </c>
      <c r="V251" s="4" t="s">
        <v>47</v>
      </c>
      <c r="W251" s="4" t="s">
        <v>65</v>
      </c>
      <c r="X251" s="4" t="s">
        <v>36</v>
      </c>
    </row>
    <row r="252" spans="1:24" x14ac:dyDescent="0.35">
      <c r="A252" s="17" t="s">
        <v>169</v>
      </c>
      <c r="B252" s="18">
        <v>45967</v>
      </c>
      <c r="C252" s="19" t="s">
        <v>170</v>
      </c>
      <c r="D252" s="19" t="s">
        <v>171</v>
      </c>
      <c r="E252" s="19" t="s">
        <v>172</v>
      </c>
      <c r="F252" s="19" t="s">
        <v>27</v>
      </c>
      <c r="G252" s="19" t="s">
        <v>97</v>
      </c>
      <c r="H252" s="19" t="s">
        <v>61</v>
      </c>
      <c r="I252" s="19" t="s">
        <v>62</v>
      </c>
      <c r="J252" s="19" t="s">
        <v>45</v>
      </c>
      <c r="K252" s="19" t="s">
        <v>63</v>
      </c>
      <c r="L252" s="20">
        <v>4</v>
      </c>
      <c r="M252" s="19">
        <v>1800</v>
      </c>
      <c r="N252" s="19">
        <v>0.2</v>
      </c>
      <c r="O252" s="19">
        <v>7200</v>
      </c>
      <c r="P252" s="19">
        <v>1440</v>
      </c>
      <c r="Q252" s="19">
        <v>0</v>
      </c>
      <c r="R252" s="19">
        <v>3814.8</v>
      </c>
      <c r="S252" s="19">
        <v>0</v>
      </c>
      <c r="T252" s="21">
        <f>IFERROR(Raw_Data!$S252/Raw_Data!$Q252,0)</f>
        <v>0</v>
      </c>
      <c r="U252" s="19" t="s">
        <v>33</v>
      </c>
      <c r="V252" s="19" t="s">
        <v>64</v>
      </c>
      <c r="W252" s="19" t="s">
        <v>55</v>
      </c>
      <c r="X252" s="19" t="s">
        <v>75</v>
      </c>
    </row>
    <row r="253" spans="1:24" x14ac:dyDescent="0.35">
      <c r="A253" s="13" t="s">
        <v>230</v>
      </c>
      <c r="B253" s="14">
        <v>45967</v>
      </c>
      <c r="C253" s="4" t="s">
        <v>142</v>
      </c>
      <c r="D253" s="4" t="s">
        <v>143</v>
      </c>
      <c r="E253" s="4" t="s">
        <v>144</v>
      </c>
      <c r="F253" s="4" t="s">
        <v>87</v>
      </c>
      <c r="G253" s="4" t="s">
        <v>28</v>
      </c>
      <c r="H253" s="4" t="s">
        <v>72</v>
      </c>
      <c r="I253" s="4" t="s">
        <v>73</v>
      </c>
      <c r="J253" s="4" t="s">
        <v>45</v>
      </c>
      <c r="K253" s="4" t="s">
        <v>74</v>
      </c>
      <c r="L253" s="15">
        <v>5</v>
      </c>
      <c r="M253" s="4">
        <v>4200</v>
      </c>
      <c r="N253" s="4">
        <v>0</v>
      </c>
      <c r="O253" s="4">
        <v>21000</v>
      </c>
      <c r="P253" s="4">
        <v>0</v>
      </c>
      <c r="Q253" s="4">
        <v>0</v>
      </c>
      <c r="R253" s="4">
        <v>12640.29</v>
      </c>
      <c r="S253" s="4">
        <v>0</v>
      </c>
      <c r="T253" s="16">
        <f>IFERROR(Raw_Data!$S253/Raw_Data!$Q253,0)</f>
        <v>0</v>
      </c>
      <c r="U253" s="4" t="s">
        <v>33</v>
      </c>
      <c r="V253" s="4" t="s">
        <v>70</v>
      </c>
      <c r="W253" s="4" t="s">
        <v>35</v>
      </c>
      <c r="X253" s="4" t="s">
        <v>75</v>
      </c>
    </row>
    <row r="254" spans="1:24" x14ac:dyDescent="0.35">
      <c r="A254" s="17" t="s">
        <v>207</v>
      </c>
      <c r="B254" s="18">
        <v>45968</v>
      </c>
      <c r="C254" s="19" t="s">
        <v>105</v>
      </c>
      <c r="D254" s="19" t="s">
        <v>106</v>
      </c>
      <c r="E254" s="19" t="s">
        <v>107</v>
      </c>
      <c r="F254" s="19" t="s">
        <v>108</v>
      </c>
      <c r="G254" s="19" t="s">
        <v>28</v>
      </c>
      <c r="H254" s="19" t="s">
        <v>162</v>
      </c>
      <c r="I254" s="19" t="s">
        <v>163</v>
      </c>
      <c r="J254" s="19" t="s">
        <v>31</v>
      </c>
      <c r="K254" s="19" t="s">
        <v>164</v>
      </c>
      <c r="L254" s="20">
        <v>2</v>
      </c>
      <c r="M254" s="19">
        <v>16500</v>
      </c>
      <c r="N254" s="19">
        <v>0</v>
      </c>
      <c r="O254" s="19">
        <v>33000</v>
      </c>
      <c r="P254" s="19">
        <v>0</v>
      </c>
      <c r="Q254" s="19">
        <v>33000</v>
      </c>
      <c r="R254" s="19">
        <v>26780.59</v>
      </c>
      <c r="S254" s="19">
        <v>6219.41</v>
      </c>
      <c r="T254" s="21">
        <f>IFERROR(Raw_Data!$S254/Raw_Data!$Q254,0)</f>
        <v>0.18846696969696969</v>
      </c>
      <c r="U254" s="19" t="s">
        <v>33</v>
      </c>
      <c r="V254" s="19" t="s">
        <v>47</v>
      </c>
      <c r="W254" s="19" t="s">
        <v>65</v>
      </c>
      <c r="X254" s="19" t="s">
        <v>36</v>
      </c>
    </row>
    <row r="255" spans="1:24" x14ac:dyDescent="0.35">
      <c r="A255" s="13" t="s">
        <v>253</v>
      </c>
      <c r="B255" s="14">
        <v>45968</v>
      </c>
      <c r="C255" s="4" t="s">
        <v>131</v>
      </c>
      <c r="D255" s="4" t="s">
        <v>132</v>
      </c>
      <c r="E255" s="4" t="s">
        <v>133</v>
      </c>
      <c r="F255" s="4" t="s">
        <v>27</v>
      </c>
      <c r="G255" s="4" t="s">
        <v>28</v>
      </c>
      <c r="H255" s="4" t="s">
        <v>151</v>
      </c>
      <c r="I255" s="4" t="s">
        <v>152</v>
      </c>
      <c r="J255" s="4" t="s">
        <v>45</v>
      </c>
      <c r="K255" s="4" t="s">
        <v>153</v>
      </c>
      <c r="L255" s="15">
        <v>6</v>
      </c>
      <c r="M255" s="4">
        <v>3200</v>
      </c>
      <c r="N255" s="4">
        <v>0</v>
      </c>
      <c r="O255" s="4">
        <v>19200</v>
      </c>
      <c r="P255" s="4">
        <v>0</v>
      </c>
      <c r="Q255" s="4">
        <v>-19200</v>
      </c>
      <c r="R255" s="4">
        <v>14069.54</v>
      </c>
      <c r="S255" s="4">
        <v>-5130.46</v>
      </c>
      <c r="T255" s="16">
        <f>IFERROR(Raw_Data!$S255/Raw_Data!$Q255,0)</f>
        <v>0.26721145833333332</v>
      </c>
      <c r="U255" s="4" t="s">
        <v>113</v>
      </c>
      <c r="V255" s="4" t="s">
        <v>34</v>
      </c>
      <c r="W255" s="4" t="s">
        <v>48</v>
      </c>
      <c r="X255" s="4" t="s">
        <v>49</v>
      </c>
    </row>
    <row r="256" spans="1:24" x14ac:dyDescent="0.35">
      <c r="A256" s="17" t="s">
        <v>326</v>
      </c>
      <c r="B256" s="18">
        <v>45969</v>
      </c>
      <c r="C256" s="19" t="s">
        <v>155</v>
      </c>
      <c r="D256" s="19" t="s">
        <v>156</v>
      </c>
      <c r="E256" s="19" t="s">
        <v>157</v>
      </c>
      <c r="F256" s="19" t="s">
        <v>60</v>
      </c>
      <c r="G256" s="19" t="s">
        <v>97</v>
      </c>
      <c r="H256" s="19" t="s">
        <v>118</v>
      </c>
      <c r="I256" s="19" t="s">
        <v>119</v>
      </c>
      <c r="J256" s="19" t="s">
        <v>31</v>
      </c>
      <c r="K256" s="19" t="s">
        <v>120</v>
      </c>
      <c r="L256" s="20">
        <v>8</v>
      </c>
      <c r="M256" s="19">
        <v>14500</v>
      </c>
      <c r="N256" s="19">
        <v>0</v>
      </c>
      <c r="O256" s="19">
        <v>116000</v>
      </c>
      <c r="P256" s="19">
        <v>0</v>
      </c>
      <c r="Q256" s="19">
        <v>116000</v>
      </c>
      <c r="R256" s="19">
        <v>70794.240000000005</v>
      </c>
      <c r="S256" s="19">
        <v>45205.760000000002</v>
      </c>
      <c r="T256" s="21">
        <f>IFERROR(Raw_Data!$S256/Raw_Data!$Q256,0)</f>
        <v>0.38970482758620689</v>
      </c>
      <c r="U256" s="19" t="s">
        <v>33</v>
      </c>
      <c r="V256" s="19" t="s">
        <v>64</v>
      </c>
      <c r="W256" s="19" t="s">
        <v>65</v>
      </c>
      <c r="X256" s="19" t="s">
        <v>36</v>
      </c>
    </row>
    <row r="257" spans="1:24" x14ac:dyDescent="0.35">
      <c r="A257" s="13" t="s">
        <v>438</v>
      </c>
      <c r="B257" s="14">
        <v>45970</v>
      </c>
      <c r="C257" s="4" t="s">
        <v>67</v>
      </c>
      <c r="D257" s="4" t="s">
        <v>68</v>
      </c>
      <c r="E257" s="4" t="s">
        <v>69</v>
      </c>
      <c r="F257" s="4" t="s">
        <v>41</v>
      </c>
      <c r="G257" s="4" t="s">
        <v>28</v>
      </c>
      <c r="H257" s="4" t="s">
        <v>43</v>
      </c>
      <c r="I257" s="4" t="s">
        <v>44</v>
      </c>
      <c r="J257" s="4" t="s">
        <v>45</v>
      </c>
      <c r="K257" s="4" t="s">
        <v>46</v>
      </c>
      <c r="L257" s="15">
        <v>7</v>
      </c>
      <c r="M257" s="4">
        <v>8900</v>
      </c>
      <c r="N257" s="4">
        <v>0.15</v>
      </c>
      <c r="O257" s="4">
        <v>62300</v>
      </c>
      <c r="P257" s="4">
        <v>9345</v>
      </c>
      <c r="Q257" s="4">
        <v>52955</v>
      </c>
      <c r="R257" s="4">
        <v>32165.7</v>
      </c>
      <c r="S257" s="4">
        <v>20789.3</v>
      </c>
      <c r="T257" s="16">
        <f>IFERROR(Raw_Data!$S257/Raw_Data!$Q257,0)</f>
        <v>0.39258426966292131</v>
      </c>
      <c r="U257" s="4" t="s">
        <v>113</v>
      </c>
      <c r="V257" s="4" t="s">
        <v>70</v>
      </c>
      <c r="W257" s="4" t="s">
        <v>48</v>
      </c>
      <c r="X257" s="4" t="s">
        <v>36</v>
      </c>
    </row>
    <row r="258" spans="1:24" x14ac:dyDescent="0.35">
      <c r="A258" s="17" t="s">
        <v>315</v>
      </c>
      <c r="B258" s="18">
        <v>45972</v>
      </c>
      <c r="C258" s="19" t="s">
        <v>142</v>
      </c>
      <c r="D258" s="19" t="s">
        <v>143</v>
      </c>
      <c r="E258" s="19" t="s">
        <v>144</v>
      </c>
      <c r="F258" s="19" t="s">
        <v>87</v>
      </c>
      <c r="G258" s="19" t="s">
        <v>28</v>
      </c>
      <c r="H258" s="19" t="s">
        <v>29</v>
      </c>
      <c r="I258" s="19" t="s">
        <v>30</v>
      </c>
      <c r="J258" s="19" t="s">
        <v>31</v>
      </c>
      <c r="K258" s="19" t="s">
        <v>32</v>
      </c>
      <c r="L258" s="20">
        <v>6</v>
      </c>
      <c r="M258" s="19">
        <v>78000</v>
      </c>
      <c r="N258" s="19">
        <v>0</v>
      </c>
      <c r="O258" s="19">
        <v>468000</v>
      </c>
      <c r="P258" s="19">
        <v>0</v>
      </c>
      <c r="Q258" s="19">
        <v>468000</v>
      </c>
      <c r="R258" s="19">
        <v>335536.95</v>
      </c>
      <c r="S258" s="19">
        <v>132463.04999999999</v>
      </c>
      <c r="T258" s="21">
        <f>IFERROR(Raw_Data!$S258/Raw_Data!$Q258,0)</f>
        <v>0.28304070512820512</v>
      </c>
      <c r="U258" s="19" t="s">
        <v>33</v>
      </c>
      <c r="V258" s="19" t="s">
        <v>34</v>
      </c>
      <c r="W258" s="19" t="s">
        <v>35</v>
      </c>
      <c r="X258" s="19" t="s">
        <v>36</v>
      </c>
    </row>
    <row r="259" spans="1:24" x14ac:dyDescent="0.35">
      <c r="A259" s="13" t="s">
        <v>363</v>
      </c>
      <c r="B259" s="14">
        <v>45973</v>
      </c>
      <c r="C259" s="4" t="s">
        <v>122</v>
      </c>
      <c r="D259" s="4" t="s">
        <v>123</v>
      </c>
      <c r="E259" s="4" t="s">
        <v>124</v>
      </c>
      <c r="F259" s="4" t="s">
        <v>87</v>
      </c>
      <c r="G259" s="4" t="s">
        <v>42</v>
      </c>
      <c r="H259" s="4" t="s">
        <v>80</v>
      </c>
      <c r="I259" s="4" t="s">
        <v>81</v>
      </c>
      <c r="J259" s="4" t="s">
        <v>31</v>
      </c>
      <c r="K259" s="4" t="s">
        <v>82</v>
      </c>
      <c r="L259" s="15">
        <v>4</v>
      </c>
      <c r="M259" s="4">
        <v>62000</v>
      </c>
      <c r="N259" s="4">
        <v>0</v>
      </c>
      <c r="O259" s="4">
        <v>248000</v>
      </c>
      <c r="P259" s="4">
        <v>0</v>
      </c>
      <c r="Q259" s="4">
        <v>-248000</v>
      </c>
      <c r="R259" s="4">
        <v>146861.56</v>
      </c>
      <c r="S259" s="4">
        <v>-101138.44</v>
      </c>
      <c r="T259" s="16">
        <f>IFERROR(Raw_Data!$S259/Raw_Data!$Q259,0)</f>
        <v>0.40781629032258065</v>
      </c>
      <c r="U259" s="4" t="s">
        <v>54</v>
      </c>
      <c r="V259" s="4" t="s">
        <v>34</v>
      </c>
      <c r="W259" s="4" t="s">
        <v>48</v>
      </c>
      <c r="X259" s="4" t="s">
        <v>49</v>
      </c>
    </row>
    <row r="260" spans="1:24" x14ac:dyDescent="0.35">
      <c r="A260" s="17" t="s">
        <v>340</v>
      </c>
      <c r="B260" s="18">
        <v>45974</v>
      </c>
      <c r="C260" s="19" t="s">
        <v>38</v>
      </c>
      <c r="D260" s="19" t="s">
        <v>39</v>
      </c>
      <c r="E260" s="19" t="s">
        <v>40</v>
      </c>
      <c r="F260" s="19" t="s">
        <v>41</v>
      </c>
      <c r="G260" s="19" t="s">
        <v>42</v>
      </c>
      <c r="H260" s="19" t="s">
        <v>43</v>
      </c>
      <c r="I260" s="19" t="s">
        <v>44</v>
      </c>
      <c r="J260" s="19" t="s">
        <v>45</v>
      </c>
      <c r="K260" s="19" t="s">
        <v>46</v>
      </c>
      <c r="L260" s="20">
        <v>1</v>
      </c>
      <c r="M260" s="19">
        <v>8900</v>
      </c>
      <c r="N260" s="19">
        <v>0.1</v>
      </c>
      <c r="O260" s="19">
        <v>8900</v>
      </c>
      <c r="P260" s="19">
        <v>890</v>
      </c>
      <c r="Q260" s="19">
        <v>-8010</v>
      </c>
      <c r="R260" s="19">
        <v>6354.81</v>
      </c>
      <c r="S260" s="19">
        <v>-1655.19</v>
      </c>
      <c r="T260" s="21">
        <f>IFERROR(Raw_Data!$S260/Raw_Data!$Q260,0)</f>
        <v>0.20664044943820226</v>
      </c>
      <c r="U260" s="19" t="s">
        <v>113</v>
      </c>
      <c r="V260" s="19" t="s">
        <v>34</v>
      </c>
      <c r="W260" s="19" t="s">
        <v>65</v>
      </c>
      <c r="X260" s="19" t="s">
        <v>49</v>
      </c>
    </row>
    <row r="261" spans="1:24" x14ac:dyDescent="0.35">
      <c r="A261" s="13" t="s">
        <v>259</v>
      </c>
      <c r="B261" s="14">
        <v>45975</v>
      </c>
      <c r="C261" s="4" t="s">
        <v>127</v>
      </c>
      <c r="D261" s="4" t="s">
        <v>128</v>
      </c>
      <c r="E261" s="4" t="s">
        <v>129</v>
      </c>
      <c r="F261" s="4" t="s">
        <v>27</v>
      </c>
      <c r="G261" s="4" t="s">
        <v>28</v>
      </c>
      <c r="H261" s="4" t="s">
        <v>29</v>
      </c>
      <c r="I261" s="4" t="s">
        <v>30</v>
      </c>
      <c r="J261" s="4" t="s">
        <v>31</v>
      </c>
      <c r="K261" s="4" t="s">
        <v>32</v>
      </c>
      <c r="L261" s="15">
        <v>6</v>
      </c>
      <c r="M261" s="4">
        <v>78000</v>
      </c>
      <c r="N261" s="4">
        <v>0.15</v>
      </c>
      <c r="O261" s="4">
        <v>468000</v>
      </c>
      <c r="P261" s="4">
        <v>70200</v>
      </c>
      <c r="Q261" s="4">
        <v>397800</v>
      </c>
      <c r="R261" s="4">
        <v>251858.37</v>
      </c>
      <c r="S261" s="4">
        <v>145941.63</v>
      </c>
      <c r="T261" s="16">
        <f>IFERROR(Raw_Data!$S261/Raw_Data!$Q261,0)</f>
        <v>0.3668718702865762</v>
      </c>
      <c r="U261" s="4" t="s">
        <v>33</v>
      </c>
      <c r="V261" s="4" t="s">
        <v>139</v>
      </c>
      <c r="W261" s="4" t="s">
        <v>65</v>
      </c>
      <c r="X261" s="4" t="s">
        <v>36</v>
      </c>
    </row>
    <row r="262" spans="1:24" x14ac:dyDescent="0.35">
      <c r="A262" s="17" t="s">
        <v>235</v>
      </c>
      <c r="B262" s="18">
        <v>45976</v>
      </c>
      <c r="C262" s="19" t="s">
        <v>115</v>
      </c>
      <c r="D262" s="19" t="s">
        <v>116</v>
      </c>
      <c r="E262" s="19" t="s">
        <v>117</v>
      </c>
      <c r="F262" s="19" t="s">
        <v>60</v>
      </c>
      <c r="G262" s="19" t="s">
        <v>97</v>
      </c>
      <c r="H262" s="19" t="s">
        <v>72</v>
      </c>
      <c r="I262" s="19" t="s">
        <v>73</v>
      </c>
      <c r="J262" s="19" t="s">
        <v>45</v>
      </c>
      <c r="K262" s="19" t="s">
        <v>74</v>
      </c>
      <c r="L262" s="20">
        <v>8</v>
      </c>
      <c r="M262" s="19">
        <v>4200</v>
      </c>
      <c r="N262" s="19">
        <v>0.2</v>
      </c>
      <c r="O262" s="19">
        <v>33600</v>
      </c>
      <c r="P262" s="19">
        <v>6720</v>
      </c>
      <c r="Q262" s="19">
        <v>26880</v>
      </c>
      <c r="R262" s="19">
        <v>18442.09</v>
      </c>
      <c r="S262" s="19">
        <v>8437.91</v>
      </c>
      <c r="T262" s="21">
        <f>IFERROR(Raw_Data!$S262/Raw_Data!$Q262,0)</f>
        <v>0.31391034226190473</v>
      </c>
      <c r="U262" s="19" t="s">
        <v>54</v>
      </c>
      <c r="V262" s="19" t="s">
        <v>64</v>
      </c>
      <c r="W262" s="19" t="s">
        <v>48</v>
      </c>
      <c r="X262" s="19" t="s">
        <v>36</v>
      </c>
    </row>
    <row r="263" spans="1:24" x14ac:dyDescent="0.35">
      <c r="A263" s="13" t="s">
        <v>292</v>
      </c>
      <c r="B263" s="14">
        <v>45979</v>
      </c>
      <c r="C263" s="4" t="s">
        <v>135</v>
      </c>
      <c r="D263" s="4" t="s">
        <v>136</v>
      </c>
      <c r="E263" s="4" t="s">
        <v>137</v>
      </c>
      <c r="F263" s="4" t="s">
        <v>27</v>
      </c>
      <c r="G263" s="4" t="s">
        <v>97</v>
      </c>
      <c r="H263" s="4" t="s">
        <v>118</v>
      </c>
      <c r="I263" s="4" t="s">
        <v>119</v>
      </c>
      <c r="J263" s="4" t="s">
        <v>31</v>
      </c>
      <c r="K263" s="4" t="s">
        <v>120</v>
      </c>
      <c r="L263" s="15">
        <v>8</v>
      </c>
      <c r="M263" s="4">
        <v>14500</v>
      </c>
      <c r="N263" s="4">
        <v>0.1</v>
      </c>
      <c r="O263" s="4">
        <v>116000</v>
      </c>
      <c r="P263" s="4">
        <v>11600</v>
      </c>
      <c r="Q263" s="4">
        <v>-104400</v>
      </c>
      <c r="R263" s="4">
        <v>79455.39</v>
      </c>
      <c r="S263" s="4">
        <v>-24944.61</v>
      </c>
      <c r="T263" s="16">
        <f>IFERROR(Raw_Data!$S263/Raw_Data!$Q263,0)</f>
        <v>0.23893304597701151</v>
      </c>
      <c r="U263" s="4" t="s">
        <v>113</v>
      </c>
      <c r="V263" s="4" t="s">
        <v>34</v>
      </c>
      <c r="W263" s="4" t="s">
        <v>65</v>
      </c>
      <c r="X263" s="4" t="s">
        <v>49</v>
      </c>
    </row>
    <row r="264" spans="1:24" x14ac:dyDescent="0.35">
      <c r="A264" s="17" t="s">
        <v>413</v>
      </c>
      <c r="B264" s="18">
        <v>45982</v>
      </c>
      <c r="C264" s="19" t="s">
        <v>57</v>
      </c>
      <c r="D264" s="19" t="s">
        <v>58</v>
      </c>
      <c r="E264" s="19" t="s">
        <v>59</v>
      </c>
      <c r="F264" s="19" t="s">
        <v>60</v>
      </c>
      <c r="G264" s="19" t="s">
        <v>42</v>
      </c>
      <c r="H264" s="19" t="s">
        <v>29</v>
      </c>
      <c r="I264" s="19" t="s">
        <v>30</v>
      </c>
      <c r="J264" s="19" t="s">
        <v>31</v>
      </c>
      <c r="K264" s="19" t="s">
        <v>32</v>
      </c>
      <c r="L264" s="20">
        <v>5</v>
      </c>
      <c r="M264" s="19">
        <v>78000</v>
      </c>
      <c r="N264" s="19">
        <v>0.1</v>
      </c>
      <c r="O264" s="19">
        <v>390000</v>
      </c>
      <c r="P264" s="19">
        <v>39000</v>
      </c>
      <c r="Q264" s="19">
        <v>351000</v>
      </c>
      <c r="R264" s="19">
        <v>244908.44</v>
      </c>
      <c r="S264" s="19">
        <v>106091.56</v>
      </c>
      <c r="T264" s="21">
        <f>IFERROR(Raw_Data!$S264/Raw_Data!$Q264,0)</f>
        <v>0.30225515669515668</v>
      </c>
      <c r="U264" s="19" t="s">
        <v>33</v>
      </c>
      <c r="V264" s="19" t="s">
        <v>139</v>
      </c>
      <c r="W264" s="19" t="s">
        <v>55</v>
      </c>
      <c r="X264" s="19" t="s">
        <v>36</v>
      </c>
    </row>
    <row r="265" spans="1:24" x14ac:dyDescent="0.35">
      <c r="A265" s="13" t="s">
        <v>183</v>
      </c>
      <c r="B265" s="14">
        <v>45986</v>
      </c>
      <c r="C265" s="4" t="s">
        <v>170</v>
      </c>
      <c r="D265" s="4" t="s">
        <v>171</v>
      </c>
      <c r="E265" s="4" t="s">
        <v>172</v>
      </c>
      <c r="F265" s="4" t="s">
        <v>27</v>
      </c>
      <c r="G265" s="4" t="s">
        <v>97</v>
      </c>
      <c r="H265" s="4" t="s">
        <v>72</v>
      </c>
      <c r="I265" s="4" t="s">
        <v>73</v>
      </c>
      <c r="J265" s="4" t="s">
        <v>45</v>
      </c>
      <c r="K265" s="4" t="s">
        <v>74</v>
      </c>
      <c r="L265" s="15">
        <v>7</v>
      </c>
      <c r="M265" s="4">
        <v>4200</v>
      </c>
      <c r="N265" s="4">
        <v>0.2</v>
      </c>
      <c r="O265" s="4">
        <v>29400</v>
      </c>
      <c r="P265" s="4">
        <v>5880</v>
      </c>
      <c r="Q265" s="4">
        <v>-23520</v>
      </c>
      <c r="R265" s="4">
        <v>19179.990000000002</v>
      </c>
      <c r="S265" s="4">
        <v>-4340.01</v>
      </c>
      <c r="T265" s="16">
        <f>IFERROR(Raw_Data!$S265/Raw_Data!$Q265,0)</f>
        <v>0.18452423469387755</v>
      </c>
      <c r="U265" s="4" t="s">
        <v>113</v>
      </c>
      <c r="V265" s="4" t="s">
        <v>47</v>
      </c>
      <c r="W265" s="4" t="s">
        <v>35</v>
      </c>
      <c r="X265" s="4" t="s">
        <v>49</v>
      </c>
    </row>
    <row r="266" spans="1:24" x14ac:dyDescent="0.35">
      <c r="A266" s="17" t="s">
        <v>291</v>
      </c>
      <c r="B266" s="18">
        <v>45988</v>
      </c>
      <c r="C266" s="19" t="s">
        <v>176</v>
      </c>
      <c r="D266" s="19" t="s">
        <v>177</v>
      </c>
      <c r="E266" s="19" t="s">
        <v>178</v>
      </c>
      <c r="F266" s="19" t="s">
        <v>108</v>
      </c>
      <c r="G266" s="19" t="s">
        <v>28</v>
      </c>
      <c r="H266" s="19" t="s">
        <v>72</v>
      </c>
      <c r="I266" s="19" t="s">
        <v>73</v>
      </c>
      <c r="J266" s="19" t="s">
        <v>45</v>
      </c>
      <c r="K266" s="19" t="s">
        <v>74</v>
      </c>
      <c r="L266" s="20">
        <v>3</v>
      </c>
      <c r="M266" s="19">
        <v>4200</v>
      </c>
      <c r="N266" s="19">
        <v>0</v>
      </c>
      <c r="O266" s="19">
        <v>12600</v>
      </c>
      <c r="P266" s="19">
        <v>0</v>
      </c>
      <c r="Q266" s="19">
        <v>12600</v>
      </c>
      <c r="R266" s="19">
        <v>7618.88</v>
      </c>
      <c r="S266" s="19">
        <v>4981.12</v>
      </c>
      <c r="T266" s="21">
        <f>IFERROR(Raw_Data!$S266/Raw_Data!$Q266,0)</f>
        <v>0.39532698412698414</v>
      </c>
      <c r="U266" s="19" t="s">
        <v>54</v>
      </c>
      <c r="V266" s="19" t="s">
        <v>88</v>
      </c>
      <c r="W266" s="19" t="s">
        <v>48</v>
      </c>
      <c r="X266" s="19" t="s">
        <v>36</v>
      </c>
    </row>
    <row r="267" spans="1:24" x14ac:dyDescent="0.35">
      <c r="A267" s="13" t="s">
        <v>392</v>
      </c>
      <c r="B267" s="14">
        <v>45989</v>
      </c>
      <c r="C267" s="4" t="s">
        <v>84</v>
      </c>
      <c r="D267" s="4" t="s">
        <v>85</v>
      </c>
      <c r="E267" s="4" t="s">
        <v>86</v>
      </c>
      <c r="F267" s="4" t="s">
        <v>87</v>
      </c>
      <c r="G267" s="4" t="s">
        <v>42</v>
      </c>
      <c r="H267" s="4" t="s">
        <v>72</v>
      </c>
      <c r="I267" s="4" t="s">
        <v>73</v>
      </c>
      <c r="J267" s="4" t="s">
        <v>45</v>
      </c>
      <c r="K267" s="4" t="s">
        <v>74</v>
      </c>
      <c r="L267" s="15">
        <v>2</v>
      </c>
      <c r="M267" s="4">
        <v>4200</v>
      </c>
      <c r="N267" s="4">
        <v>0.1</v>
      </c>
      <c r="O267" s="4">
        <v>8400</v>
      </c>
      <c r="P267" s="4">
        <v>840</v>
      </c>
      <c r="Q267" s="4">
        <v>7560</v>
      </c>
      <c r="R267" s="4">
        <v>5921.84</v>
      </c>
      <c r="S267" s="4">
        <v>1638.16</v>
      </c>
      <c r="T267" s="16">
        <f>IFERROR(Raw_Data!$S267/Raw_Data!$Q267,0)</f>
        <v>0.21668783068783071</v>
      </c>
      <c r="U267" s="4" t="s">
        <v>33</v>
      </c>
      <c r="V267" s="4" t="s">
        <v>34</v>
      </c>
      <c r="W267" s="4" t="s">
        <v>48</v>
      </c>
      <c r="X267" s="4" t="s">
        <v>36</v>
      </c>
    </row>
    <row r="268" spans="1:24" x14ac:dyDescent="0.35">
      <c r="A268" s="17" t="s">
        <v>396</v>
      </c>
      <c r="B268" s="18">
        <v>45990</v>
      </c>
      <c r="C268" s="19" t="s">
        <v>90</v>
      </c>
      <c r="D268" s="19" t="s">
        <v>91</v>
      </c>
      <c r="E268" s="19" t="s">
        <v>92</v>
      </c>
      <c r="F268" s="19" t="s">
        <v>60</v>
      </c>
      <c r="G268" s="19" t="s">
        <v>42</v>
      </c>
      <c r="H268" s="19" t="s">
        <v>110</v>
      </c>
      <c r="I268" s="19" t="s">
        <v>111</v>
      </c>
      <c r="J268" s="19" t="s">
        <v>101</v>
      </c>
      <c r="K268" s="19" t="s">
        <v>112</v>
      </c>
      <c r="L268" s="20">
        <v>6</v>
      </c>
      <c r="M268" s="19">
        <v>22000</v>
      </c>
      <c r="N268" s="19">
        <v>0.05</v>
      </c>
      <c r="O268" s="19">
        <v>132000</v>
      </c>
      <c r="P268" s="19">
        <v>6600</v>
      </c>
      <c r="Q268" s="19">
        <v>-125400</v>
      </c>
      <c r="R268" s="19">
        <v>80603.960000000006</v>
      </c>
      <c r="S268" s="19">
        <v>-44796.04</v>
      </c>
      <c r="T268" s="21">
        <f>IFERROR(Raw_Data!$S268/Raw_Data!$Q268,0)</f>
        <v>0.3572251993620415</v>
      </c>
      <c r="U268" s="19" t="s">
        <v>113</v>
      </c>
      <c r="V268" s="19" t="s">
        <v>139</v>
      </c>
      <c r="W268" s="19" t="s">
        <v>35</v>
      </c>
      <c r="X268" s="19" t="s">
        <v>49</v>
      </c>
    </row>
    <row r="269" spans="1:24" x14ac:dyDescent="0.35">
      <c r="A269" s="13" t="s">
        <v>205</v>
      </c>
      <c r="B269" s="14">
        <v>45991</v>
      </c>
      <c r="C269" s="4" t="s">
        <v>77</v>
      </c>
      <c r="D269" s="4" t="s">
        <v>78</v>
      </c>
      <c r="E269" s="4" t="s">
        <v>79</v>
      </c>
      <c r="F269" s="4" t="s">
        <v>60</v>
      </c>
      <c r="G269" s="4" t="s">
        <v>28</v>
      </c>
      <c r="H269" s="4" t="s">
        <v>80</v>
      </c>
      <c r="I269" s="4" t="s">
        <v>81</v>
      </c>
      <c r="J269" s="4" t="s">
        <v>31</v>
      </c>
      <c r="K269" s="4" t="s">
        <v>82</v>
      </c>
      <c r="L269" s="15">
        <v>1</v>
      </c>
      <c r="M269" s="4">
        <v>62000</v>
      </c>
      <c r="N269" s="4">
        <v>0</v>
      </c>
      <c r="O269" s="4">
        <v>62000</v>
      </c>
      <c r="P269" s="4">
        <v>0</v>
      </c>
      <c r="Q269" s="4">
        <v>62000</v>
      </c>
      <c r="R269" s="4">
        <v>50090.22</v>
      </c>
      <c r="S269" s="4">
        <v>11909.78</v>
      </c>
      <c r="T269" s="16">
        <f>IFERROR(Raw_Data!$S269/Raw_Data!$Q269,0)</f>
        <v>0.19209322580645163</v>
      </c>
      <c r="U269" s="4" t="s">
        <v>54</v>
      </c>
      <c r="V269" s="4" t="s">
        <v>70</v>
      </c>
      <c r="W269" s="4" t="s">
        <v>48</v>
      </c>
      <c r="X269" s="4" t="s">
        <v>36</v>
      </c>
    </row>
    <row r="270" spans="1:24" x14ac:dyDescent="0.35">
      <c r="A270" s="17" t="s">
        <v>347</v>
      </c>
      <c r="B270" s="18">
        <v>45992</v>
      </c>
      <c r="C270" s="19" t="s">
        <v>127</v>
      </c>
      <c r="D270" s="19" t="s">
        <v>128</v>
      </c>
      <c r="E270" s="19" t="s">
        <v>129</v>
      </c>
      <c r="F270" s="19" t="s">
        <v>27</v>
      </c>
      <c r="G270" s="19" t="s">
        <v>28</v>
      </c>
      <c r="H270" s="19" t="s">
        <v>162</v>
      </c>
      <c r="I270" s="19" t="s">
        <v>163</v>
      </c>
      <c r="J270" s="19" t="s">
        <v>31</v>
      </c>
      <c r="K270" s="19" t="s">
        <v>164</v>
      </c>
      <c r="L270" s="20">
        <v>8</v>
      </c>
      <c r="M270" s="19">
        <v>16500</v>
      </c>
      <c r="N270" s="19">
        <v>0.05</v>
      </c>
      <c r="O270" s="19">
        <v>132000</v>
      </c>
      <c r="P270" s="19">
        <v>6600</v>
      </c>
      <c r="Q270" s="19">
        <v>125400</v>
      </c>
      <c r="R270" s="19">
        <v>88884.24</v>
      </c>
      <c r="S270" s="19">
        <v>36515.760000000002</v>
      </c>
      <c r="T270" s="21">
        <f>IFERROR(Raw_Data!$S270/Raw_Data!$Q270,0)</f>
        <v>0.29119425837320578</v>
      </c>
      <c r="U270" s="19" t="s">
        <v>113</v>
      </c>
      <c r="V270" s="19" t="s">
        <v>88</v>
      </c>
      <c r="W270" s="19" t="s">
        <v>65</v>
      </c>
      <c r="X270" s="19" t="s">
        <v>36</v>
      </c>
    </row>
    <row r="271" spans="1:24" x14ac:dyDescent="0.35">
      <c r="A271" s="13" t="s">
        <v>399</v>
      </c>
      <c r="B271" s="14">
        <v>45993</v>
      </c>
      <c r="C271" s="4" t="s">
        <v>127</v>
      </c>
      <c r="D271" s="4" t="s">
        <v>128</v>
      </c>
      <c r="E271" s="4" t="s">
        <v>129</v>
      </c>
      <c r="F271" s="4" t="s">
        <v>27</v>
      </c>
      <c r="G271" s="4" t="s">
        <v>28</v>
      </c>
      <c r="H271" s="4" t="s">
        <v>110</v>
      </c>
      <c r="I271" s="4" t="s">
        <v>111</v>
      </c>
      <c r="J271" s="4" t="s">
        <v>101</v>
      </c>
      <c r="K271" s="4" t="s">
        <v>112</v>
      </c>
      <c r="L271" s="15">
        <v>6</v>
      </c>
      <c r="M271" s="4">
        <v>22000</v>
      </c>
      <c r="N271" s="4">
        <v>0.05</v>
      </c>
      <c r="O271" s="4">
        <v>132000</v>
      </c>
      <c r="P271" s="4">
        <v>6600</v>
      </c>
      <c r="Q271" s="4">
        <v>125400</v>
      </c>
      <c r="R271" s="4">
        <v>95706.1</v>
      </c>
      <c r="S271" s="4">
        <v>29693.9</v>
      </c>
      <c r="T271" s="16">
        <f>IFERROR(Raw_Data!$S271/Raw_Data!$Q271,0)</f>
        <v>0.23679346092503989</v>
      </c>
      <c r="U271" s="4" t="s">
        <v>33</v>
      </c>
      <c r="V271" s="4" t="s">
        <v>34</v>
      </c>
      <c r="W271" s="4" t="s">
        <v>55</v>
      </c>
      <c r="X271" s="4" t="s">
        <v>36</v>
      </c>
    </row>
    <row r="272" spans="1:24" x14ac:dyDescent="0.35">
      <c r="A272" s="17" t="s">
        <v>384</v>
      </c>
      <c r="B272" s="18">
        <v>45996</v>
      </c>
      <c r="C272" s="19" t="s">
        <v>24</v>
      </c>
      <c r="D272" s="19" t="s">
        <v>25</v>
      </c>
      <c r="E272" s="19" t="s">
        <v>26</v>
      </c>
      <c r="F272" s="19" t="s">
        <v>27</v>
      </c>
      <c r="G272" s="19" t="s">
        <v>28</v>
      </c>
      <c r="H272" s="19" t="s">
        <v>29</v>
      </c>
      <c r="I272" s="19" t="s">
        <v>30</v>
      </c>
      <c r="J272" s="19" t="s">
        <v>31</v>
      </c>
      <c r="K272" s="19" t="s">
        <v>32</v>
      </c>
      <c r="L272" s="20">
        <v>7</v>
      </c>
      <c r="M272" s="19">
        <v>78000</v>
      </c>
      <c r="N272" s="19">
        <v>0.15</v>
      </c>
      <c r="O272" s="19">
        <v>546000</v>
      </c>
      <c r="P272" s="19">
        <v>81900</v>
      </c>
      <c r="Q272" s="19">
        <v>464100</v>
      </c>
      <c r="R272" s="19">
        <v>354504.1</v>
      </c>
      <c r="S272" s="19">
        <v>109595.9</v>
      </c>
      <c r="T272" s="21">
        <f>IFERROR(Raw_Data!$S272/Raw_Data!$Q272,0)</f>
        <v>0.23614716655893125</v>
      </c>
      <c r="U272" s="19" t="s">
        <v>54</v>
      </c>
      <c r="V272" s="19" t="s">
        <v>88</v>
      </c>
      <c r="W272" s="19" t="s">
        <v>35</v>
      </c>
      <c r="X272" s="19" t="s">
        <v>36</v>
      </c>
    </row>
    <row r="273" spans="1:24" x14ac:dyDescent="0.35">
      <c r="A273" s="13" t="s">
        <v>414</v>
      </c>
      <c r="B273" s="14">
        <v>45996</v>
      </c>
      <c r="C273" s="4" t="s">
        <v>105</v>
      </c>
      <c r="D273" s="4" t="s">
        <v>106</v>
      </c>
      <c r="E273" s="4" t="s">
        <v>107</v>
      </c>
      <c r="F273" s="4" t="s">
        <v>108</v>
      </c>
      <c r="G273" s="4" t="s">
        <v>28</v>
      </c>
      <c r="H273" s="4" t="s">
        <v>162</v>
      </c>
      <c r="I273" s="4" t="s">
        <v>163</v>
      </c>
      <c r="J273" s="4" t="s">
        <v>31</v>
      </c>
      <c r="K273" s="4" t="s">
        <v>164</v>
      </c>
      <c r="L273" s="15">
        <v>7</v>
      </c>
      <c r="M273" s="4">
        <v>16500</v>
      </c>
      <c r="N273" s="4">
        <v>0</v>
      </c>
      <c r="O273" s="4">
        <v>115500</v>
      </c>
      <c r="P273" s="4">
        <v>0</v>
      </c>
      <c r="Q273" s="4">
        <v>115500</v>
      </c>
      <c r="R273" s="4">
        <v>88394.48</v>
      </c>
      <c r="S273" s="4">
        <v>27105.52</v>
      </c>
      <c r="T273" s="16">
        <f>IFERROR(Raw_Data!$S273/Raw_Data!$Q273,0)</f>
        <v>0.23467982683982685</v>
      </c>
      <c r="U273" s="4" t="s">
        <v>54</v>
      </c>
      <c r="V273" s="4" t="s">
        <v>34</v>
      </c>
      <c r="W273" s="4" t="s">
        <v>35</v>
      </c>
      <c r="X273" s="4" t="s">
        <v>36</v>
      </c>
    </row>
    <row r="274" spans="1:24" x14ac:dyDescent="0.35">
      <c r="A274" s="17" t="s">
        <v>168</v>
      </c>
      <c r="B274" s="18">
        <v>45997</v>
      </c>
      <c r="C274" s="19" t="s">
        <v>51</v>
      </c>
      <c r="D274" s="19" t="s">
        <v>52</v>
      </c>
      <c r="E274" s="19" t="s">
        <v>53</v>
      </c>
      <c r="F274" s="19" t="s">
        <v>27</v>
      </c>
      <c r="G274" s="19" t="s">
        <v>28</v>
      </c>
      <c r="H274" s="19" t="s">
        <v>61</v>
      </c>
      <c r="I274" s="19" t="s">
        <v>62</v>
      </c>
      <c r="J274" s="19" t="s">
        <v>45</v>
      </c>
      <c r="K274" s="19" t="s">
        <v>63</v>
      </c>
      <c r="L274" s="20">
        <v>2</v>
      </c>
      <c r="M274" s="19">
        <v>1800</v>
      </c>
      <c r="N274" s="19">
        <v>0</v>
      </c>
      <c r="O274" s="19">
        <v>3600</v>
      </c>
      <c r="P274" s="19">
        <v>0</v>
      </c>
      <c r="Q274" s="19">
        <v>3600</v>
      </c>
      <c r="R274" s="19">
        <v>2316.5</v>
      </c>
      <c r="S274" s="19">
        <v>1283.5</v>
      </c>
      <c r="T274" s="21">
        <f>IFERROR(Raw_Data!$S274/Raw_Data!$Q274,0)</f>
        <v>0.35652777777777778</v>
      </c>
      <c r="U274" s="19" t="s">
        <v>33</v>
      </c>
      <c r="V274" s="19" t="s">
        <v>70</v>
      </c>
      <c r="W274" s="19" t="s">
        <v>48</v>
      </c>
      <c r="X274" s="19" t="s">
        <v>36</v>
      </c>
    </row>
    <row r="275" spans="1:24" x14ac:dyDescent="0.35">
      <c r="A275" s="13" t="s">
        <v>191</v>
      </c>
      <c r="B275" s="14">
        <v>45997</v>
      </c>
      <c r="C275" s="4" t="s">
        <v>131</v>
      </c>
      <c r="D275" s="4" t="s">
        <v>132</v>
      </c>
      <c r="E275" s="4" t="s">
        <v>133</v>
      </c>
      <c r="F275" s="4" t="s">
        <v>27</v>
      </c>
      <c r="G275" s="4" t="s">
        <v>28</v>
      </c>
      <c r="H275" s="4" t="s">
        <v>110</v>
      </c>
      <c r="I275" s="4" t="s">
        <v>111</v>
      </c>
      <c r="J275" s="4" t="s">
        <v>101</v>
      </c>
      <c r="K275" s="4" t="s">
        <v>112</v>
      </c>
      <c r="L275" s="15">
        <v>6</v>
      </c>
      <c r="M275" s="4">
        <v>22000</v>
      </c>
      <c r="N275" s="4">
        <v>0</v>
      </c>
      <c r="O275" s="4">
        <v>132000</v>
      </c>
      <c r="P275" s="4">
        <v>0</v>
      </c>
      <c r="Q275" s="4">
        <v>132000</v>
      </c>
      <c r="R275" s="4">
        <v>102487.66</v>
      </c>
      <c r="S275" s="4">
        <v>29512.34</v>
      </c>
      <c r="T275" s="16">
        <f>IFERROR(Raw_Data!$S275/Raw_Data!$Q275,0)</f>
        <v>0.22357833333333332</v>
      </c>
      <c r="U275" s="4" t="s">
        <v>33</v>
      </c>
      <c r="V275" s="4" t="s">
        <v>64</v>
      </c>
      <c r="W275" s="4" t="s">
        <v>48</v>
      </c>
      <c r="X275" s="4" t="s">
        <v>36</v>
      </c>
    </row>
    <row r="276" spans="1:24" x14ac:dyDescent="0.35">
      <c r="A276" s="17" t="s">
        <v>242</v>
      </c>
      <c r="B276" s="18">
        <v>45997</v>
      </c>
      <c r="C276" s="19" t="s">
        <v>94</v>
      </c>
      <c r="D276" s="19" t="s">
        <v>95</v>
      </c>
      <c r="E276" s="19" t="s">
        <v>96</v>
      </c>
      <c r="F276" s="19" t="s">
        <v>60</v>
      </c>
      <c r="G276" s="19" t="s">
        <v>97</v>
      </c>
      <c r="H276" s="19" t="s">
        <v>43</v>
      </c>
      <c r="I276" s="19" t="s">
        <v>44</v>
      </c>
      <c r="J276" s="19" t="s">
        <v>45</v>
      </c>
      <c r="K276" s="19" t="s">
        <v>46</v>
      </c>
      <c r="L276" s="20">
        <v>3</v>
      </c>
      <c r="M276" s="19">
        <v>8900</v>
      </c>
      <c r="N276" s="19">
        <v>0.1</v>
      </c>
      <c r="O276" s="19">
        <v>26700</v>
      </c>
      <c r="P276" s="19">
        <v>2670</v>
      </c>
      <c r="Q276" s="19">
        <v>24030</v>
      </c>
      <c r="R276" s="19">
        <v>19501.740000000002</v>
      </c>
      <c r="S276" s="19">
        <v>4528.26</v>
      </c>
      <c r="T276" s="21">
        <f>IFERROR(Raw_Data!$S276/Raw_Data!$Q276,0)</f>
        <v>0.18844194756554308</v>
      </c>
      <c r="U276" s="19" t="s">
        <v>33</v>
      </c>
      <c r="V276" s="19" t="s">
        <v>70</v>
      </c>
      <c r="W276" s="19" t="s">
        <v>65</v>
      </c>
      <c r="X276" s="19" t="s">
        <v>36</v>
      </c>
    </row>
    <row r="277" spans="1:24" x14ac:dyDescent="0.35">
      <c r="A277" s="13" t="s">
        <v>300</v>
      </c>
      <c r="B277" s="14">
        <v>45997</v>
      </c>
      <c r="C277" s="4" t="s">
        <v>135</v>
      </c>
      <c r="D277" s="4" t="s">
        <v>136</v>
      </c>
      <c r="E277" s="4" t="s">
        <v>137</v>
      </c>
      <c r="F277" s="4" t="s">
        <v>27</v>
      </c>
      <c r="G277" s="4" t="s">
        <v>97</v>
      </c>
      <c r="H277" s="4" t="s">
        <v>162</v>
      </c>
      <c r="I277" s="4" t="s">
        <v>163</v>
      </c>
      <c r="J277" s="4" t="s">
        <v>31</v>
      </c>
      <c r="K277" s="4" t="s">
        <v>164</v>
      </c>
      <c r="L277" s="15">
        <v>3</v>
      </c>
      <c r="M277" s="4">
        <v>16500</v>
      </c>
      <c r="N277" s="4">
        <v>0.05</v>
      </c>
      <c r="O277" s="4">
        <v>49500</v>
      </c>
      <c r="P277" s="4">
        <v>2475</v>
      </c>
      <c r="Q277" s="4">
        <v>0</v>
      </c>
      <c r="R277" s="4">
        <v>30775.78</v>
      </c>
      <c r="S277" s="4">
        <v>0</v>
      </c>
      <c r="T277" s="16">
        <f>IFERROR(Raw_Data!$S277/Raw_Data!$Q277,0)</f>
        <v>0</v>
      </c>
      <c r="U277" s="4" t="s">
        <v>33</v>
      </c>
      <c r="V277" s="4" t="s">
        <v>34</v>
      </c>
      <c r="W277" s="4" t="s">
        <v>55</v>
      </c>
      <c r="X277" s="4" t="s">
        <v>75</v>
      </c>
    </row>
    <row r="278" spans="1:24" x14ac:dyDescent="0.35">
      <c r="A278" s="17" t="s">
        <v>358</v>
      </c>
      <c r="B278" s="18">
        <v>45997</v>
      </c>
      <c r="C278" s="19" t="s">
        <v>51</v>
      </c>
      <c r="D278" s="19" t="s">
        <v>52</v>
      </c>
      <c r="E278" s="19" t="s">
        <v>53</v>
      </c>
      <c r="F278" s="19" t="s">
        <v>27</v>
      </c>
      <c r="G278" s="19" t="s">
        <v>28</v>
      </c>
      <c r="H278" s="19" t="s">
        <v>72</v>
      </c>
      <c r="I278" s="19" t="s">
        <v>73</v>
      </c>
      <c r="J278" s="19" t="s">
        <v>45</v>
      </c>
      <c r="K278" s="19" t="s">
        <v>74</v>
      </c>
      <c r="L278" s="20">
        <v>8</v>
      </c>
      <c r="M278" s="19">
        <v>4200</v>
      </c>
      <c r="N278" s="19">
        <v>0.15</v>
      </c>
      <c r="O278" s="19">
        <v>33600</v>
      </c>
      <c r="P278" s="19">
        <v>5040</v>
      </c>
      <c r="Q278" s="19">
        <v>28560</v>
      </c>
      <c r="R278" s="19">
        <v>19147.71</v>
      </c>
      <c r="S278" s="19">
        <v>9412.2900000000009</v>
      </c>
      <c r="T278" s="21">
        <f>IFERROR(Raw_Data!$S278/Raw_Data!$Q278,0)</f>
        <v>0.329561974789916</v>
      </c>
      <c r="U278" s="19" t="s">
        <v>113</v>
      </c>
      <c r="V278" s="19" t="s">
        <v>70</v>
      </c>
      <c r="W278" s="19" t="s">
        <v>65</v>
      </c>
      <c r="X278" s="19" t="s">
        <v>36</v>
      </c>
    </row>
    <row r="279" spans="1:24" x14ac:dyDescent="0.35">
      <c r="A279" s="13" t="s">
        <v>188</v>
      </c>
      <c r="B279" s="14">
        <v>45998</v>
      </c>
      <c r="C279" s="4" t="s">
        <v>84</v>
      </c>
      <c r="D279" s="4" t="s">
        <v>85</v>
      </c>
      <c r="E279" s="4" t="s">
        <v>86</v>
      </c>
      <c r="F279" s="4" t="s">
        <v>87</v>
      </c>
      <c r="G279" s="4" t="s">
        <v>42</v>
      </c>
      <c r="H279" s="4" t="s">
        <v>43</v>
      </c>
      <c r="I279" s="4" t="s">
        <v>44</v>
      </c>
      <c r="J279" s="4" t="s">
        <v>45</v>
      </c>
      <c r="K279" s="4" t="s">
        <v>46</v>
      </c>
      <c r="L279" s="15">
        <v>7</v>
      </c>
      <c r="M279" s="4">
        <v>8900</v>
      </c>
      <c r="N279" s="4">
        <v>0.2</v>
      </c>
      <c r="O279" s="4">
        <v>62300</v>
      </c>
      <c r="P279" s="4">
        <v>12460</v>
      </c>
      <c r="Q279" s="4">
        <v>49840</v>
      </c>
      <c r="R279" s="4">
        <v>37856.089999999997</v>
      </c>
      <c r="S279" s="4">
        <v>11983.91</v>
      </c>
      <c r="T279" s="16">
        <f>IFERROR(Raw_Data!$S279/Raw_Data!$Q279,0)</f>
        <v>0.24044763242375602</v>
      </c>
      <c r="U279" s="4" t="s">
        <v>33</v>
      </c>
      <c r="V279" s="4" t="s">
        <v>70</v>
      </c>
      <c r="W279" s="4" t="s">
        <v>65</v>
      </c>
      <c r="X279" s="4" t="s">
        <v>36</v>
      </c>
    </row>
    <row r="280" spans="1:24" x14ac:dyDescent="0.35">
      <c r="A280" s="17" t="s">
        <v>179</v>
      </c>
      <c r="B280" s="18">
        <v>45999</v>
      </c>
      <c r="C280" s="19" t="s">
        <v>84</v>
      </c>
      <c r="D280" s="19" t="s">
        <v>85</v>
      </c>
      <c r="E280" s="19" t="s">
        <v>86</v>
      </c>
      <c r="F280" s="19" t="s">
        <v>87</v>
      </c>
      <c r="G280" s="19" t="s">
        <v>42</v>
      </c>
      <c r="H280" s="19" t="s">
        <v>151</v>
      </c>
      <c r="I280" s="19" t="s">
        <v>152</v>
      </c>
      <c r="J280" s="19" t="s">
        <v>45</v>
      </c>
      <c r="K280" s="19" t="s">
        <v>153</v>
      </c>
      <c r="L280" s="20">
        <v>2</v>
      </c>
      <c r="M280" s="19">
        <v>3200</v>
      </c>
      <c r="N280" s="19">
        <v>0.05</v>
      </c>
      <c r="O280" s="19">
        <v>6400</v>
      </c>
      <c r="P280" s="19">
        <v>320</v>
      </c>
      <c r="Q280" s="19">
        <v>6080</v>
      </c>
      <c r="R280" s="19">
        <v>4664.75</v>
      </c>
      <c r="S280" s="19">
        <v>1415.25</v>
      </c>
      <c r="T280" s="21">
        <f>IFERROR(Raw_Data!$S280/Raw_Data!$Q280,0)</f>
        <v>0.23277138157894736</v>
      </c>
      <c r="U280" s="19" t="s">
        <v>33</v>
      </c>
      <c r="V280" s="19" t="s">
        <v>34</v>
      </c>
      <c r="W280" s="19" t="s">
        <v>48</v>
      </c>
      <c r="X280" s="19" t="s">
        <v>36</v>
      </c>
    </row>
    <row r="281" spans="1:24" x14ac:dyDescent="0.35">
      <c r="A281" s="13" t="s">
        <v>331</v>
      </c>
      <c r="B281" s="14">
        <v>45999</v>
      </c>
      <c r="C281" s="4" t="s">
        <v>135</v>
      </c>
      <c r="D281" s="4" t="s">
        <v>136</v>
      </c>
      <c r="E281" s="4" t="s">
        <v>137</v>
      </c>
      <c r="F281" s="4" t="s">
        <v>27</v>
      </c>
      <c r="G281" s="4" t="s">
        <v>97</v>
      </c>
      <c r="H281" s="4" t="s">
        <v>72</v>
      </c>
      <c r="I281" s="4" t="s">
        <v>73</v>
      </c>
      <c r="J281" s="4" t="s">
        <v>45</v>
      </c>
      <c r="K281" s="4" t="s">
        <v>74</v>
      </c>
      <c r="L281" s="15">
        <v>6</v>
      </c>
      <c r="M281" s="4">
        <v>4200</v>
      </c>
      <c r="N281" s="4">
        <v>0.2</v>
      </c>
      <c r="O281" s="4">
        <v>25200</v>
      </c>
      <c r="P281" s="4">
        <v>5040</v>
      </c>
      <c r="Q281" s="4">
        <v>-20160</v>
      </c>
      <c r="R281" s="4">
        <v>12007</v>
      </c>
      <c r="S281" s="4">
        <v>-8153</v>
      </c>
      <c r="T281" s="16">
        <f>IFERROR(Raw_Data!$S281/Raw_Data!$Q281,0)</f>
        <v>0.40441468253968255</v>
      </c>
      <c r="U281" s="4" t="s">
        <v>113</v>
      </c>
      <c r="V281" s="4" t="s">
        <v>64</v>
      </c>
      <c r="W281" s="4" t="s">
        <v>48</v>
      </c>
      <c r="X281" s="4" t="s">
        <v>49</v>
      </c>
    </row>
    <row r="282" spans="1:24" x14ac:dyDescent="0.35">
      <c r="A282" s="17" t="s">
        <v>130</v>
      </c>
      <c r="B282" s="18">
        <v>46001</v>
      </c>
      <c r="C282" s="19" t="s">
        <v>131</v>
      </c>
      <c r="D282" s="19" t="s">
        <v>132</v>
      </c>
      <c r="E282" s="19" t="s">
        <v>133</v>
      </c>
      <c r="F282" s="19" t="s">
        <v>27</v>
      </c>
      <c r="G282" s="19" t="s">
        <v>28</v>
      </c>
      <c r="H282" s="19" t="s">
        <v>43</v>
      </c>
      <c r="I282" s="19" t="s">
        <v>44</v>
      </c>
      <c r="J282" s="19" t="s">
        <v>45</v>
      </c>
      <c r="K282" s="19" t="s">
        <v>46</v>
      </c>
      <c r="L282" s="20">
        <v>6</v>
      </c>
      <c r="M282" s="19">
        <v>8900</v>
      </c>
      <c r="N282" s="19">
        <v>0.1</v>
      </c>
      <c r="O282" s="19">
        <v>53400</v>
      </c>
      <c r="P282" s="19">
        <v>5340</v>
      </c>
      <c r="Q282" s="19">
        <v>48060</v>
      </c>
      <c r="R282" s="19">
        <v>38251.31</v>
      </c>
      <c r="S282" s="19">
        <v>9808.69</v>
      </c>
      <c r="T282" s="21">
        <f>IFERROR(Raw_Data!$S282/Raw_Data!$Q282,0)</f>
        <v>0.2040925925925926</v>
      </c>
      <c r="U282" s="19" t="s">
        <v>54</v>
      </c>
      <c r="V282" s="19" t="s">
        <v>88</v>
      </c>
      <c r="W282" s="19" t="s">
        <v>48</v>
      </c>
      <c r="X282" s="19" t="s">
        <v>36</v>
      </c>
    </row>
    <row r="283" spans="1:24" x14ac:dyDescent="0.35">
      <c r="A283" s="13" t="s">
        <v>258</v>
      </c>
      <c r="B283" s="14">
        <v>46002</v>
      </c>
      <c r="C283" s="4" t="s">
        <v>90</v>
      </c>
      <c r="D283" s="4" t="s">
        <v>91</v>
      </c>
      <c r="E283" s="4" t="s">
        <v>92</v>
      </c>
      <c r="F283" s="4" t="s">
        <v>60</v>
      </c>
      <c r="G283" s="4" t="s">
        <v>42</v>
      </c>
      <c r="H283" s="4" t="s">
        <v>72</v>
      </c>
      <c r="I283" s="4" t="s">
        <v>73</v>
      </c>
      <c r="J283" s="4" t="s">
        <v>45</v>
      </c>
      <c r="K283" s="4" t="s">
        <v>74</v>
      </c>
      <c r="L283" s="15">
        <v>5</v>
      </c>
      <c r="M283" s="4">
        <v>4200</v>
      </c>
      <c r="N283" s="4">
        <v>0.15</v>
      </c>
      <c r="O283" s="4">
        <v>21000</v>
      </c>
      <c r="P283" s="4">
        <v>3150</v>
      </c>
      <c r="Q283" s="4">
        <v>0</v>
      </c>
      <c r="R283" s="4">
        <v>11985.31</v>
      </c>
      <c r="S283" s="4">
        <v>0</v>
      </c>
      <c r="T283" s="16">
        <f>IFERROR(Raw_Data!$S283/Raw_Data!$Q283,0)</f>
        <v>0</v>
      </c>
      <c r="U283" s="4" t="s">
        <v>113</v>
      </c>
      <c r="V283" s="4" t="s">
        <v>47</v>
      </c>
      <c r="W283" s="4" t="s">
        <v>48</v>
      </c>
      <c r="X283" s="4" t="s">
        <v>75</v>
      </c>
    </row>
    <row r="284" spans="1:24" x14ac:dyDescent="0.35">
      <c r="A284" s="17" t="s">
        <v>387</v>
      </c>
      <c r="B284" s="18">
        <v>46002</v>
      </c>
      <c r="C284" s="19" t="s">
        <v>38</v>
      </c>
      <c r="D284" s="19" t="s">
        <v>39</v>
      </c>
      <c r="E284" s="19" t="s">
        <v>40</v>
      </c>
      <c r="F284" s="19" t="s">
        <v>41</v>
      </c>
      <c r="G284" s="19" t="s">
        <v>42</v>
      </c>
      <c r="H284" s="19" t="s">
        <v>162</v>
      </c>
      <c r="I284" s="19" t="s">
        <v>163</v>
      </c>
      <c r="J284" s="19" t="s">
        <v>31</v>
      </c>
      <c r="K284" s="19" t="s">
        <v>164</v>
      </c>
      <c r="L284" s="20">
        <v>6</v>
      </c>
      <c r="M284" s="19">
        <v>16500</v>
      </c>
      <c r="N284" s="19">
        <v>0</v>
      </c>
      <c r="O284" s="19">
        <v>99000</v>
      </c>
      <c r="P284" s="19">
        <v>0</v>
      </c>
      <c r="Q284" s="19">
        <v>99000</v>
      </c>
      <c r="R284" s="19">
        <v>64589.919999999998</v>
      </c>
      <c r="S284" s="19">
        <v>34410.080000000002</v>
      </c>
      <c r="T284" s="21">
        <f>IFERROR(Raw_Data!$S284/Raw_Data!$Q284,0)</f>
        <v>0.34757656565656569</v>
      </c>
      <c r="U284" s="19" t="s">
        <v>33</v>
      </c>
      <c r="V284" s="19" t="s">
        <v>70</v>
      </c>
      <c r="W284" s="19" t="s">
        <v>48</v>
      </c>
      <c r="X284" s="19" t="s">
        <v>36</v>
      </c>
    </row>
    <row r="285" spans="1:24" x14ac:dyDescent="0.35">
      <c r="A285" s="13" t="s">
        <v>359</v>
      </c>
      <c r="B285" s="14">
        <v>46004</v>
      </c>
      <c r="C285" s="4" t="s">
        <v>51</v>
      </c>
      <c r="D285" s="4" t="s">
        <v>52</v>
      </c>
      <c r="E285" s="4" t="s">
        <v>53</v>
      </c>
      <c r="F285" s="4" t="s">
        <v>27</v>
      </c>
      <c r="G285" s="4" t="s">
        <v>28</v>
      </c>
      <c r="H285" s="4" t="s">
        <v>72</v>
      </c>
      <c r="I285" s="4" t="s">
        <v>73</v>
      </c>
      <c r="J285" s="4" t="s">
        <v>45</v>
      </c>
      <c r="K285" s="4" t="s">
        <v>74</v>
      </c>
      <c r="L285" s="15">
        <v>5</v>
      </c>
      <c r="M285" s="4">
        <v>4200</v>
      </c>
      <c r="N285" s="4">
        <v>0.15</v>
      </c>
      <c r="O285" s="4">
        <v>21000</v>
      </c>
      <c r="P285" s="4">
        <v>3150</v>
      </c>
      <c r="Q285" s="4">
        <v>17850</v>
      </c>
      <c r="R285" s="4">
        <v>12427.23</v>
      </c>
      <c r="S285" s="4">
        <v>5422.77</v>
      </c>
      <c r="T285" s="16">
        <f>IFERROR(Raw_Data!$S285/Raw_Data!$Q285,0)</f>
        <v>0.30379663865546219</v>
      </c>
      <c r="U285" s="4" t="s">
        <v>113</v>
      </c>
      <c r="V285" s="4" t="s">
        <v>70</v>
      </c>
      <c r="W285" s="4" t="s">
        <v>65</v>
      </c>
      <c r="X285" s="4" t="s">
        <v>36</v>
      </c>
    </row>
    <row r="286" spans="1:24" x14ac:dyDescent="0.35">
      <c r="A286" s="17" t="s">
        <v>341</v>
      </c>
      <c r="B286" s="18">
        <v>46008</v>
      </c>
      <c r="C286" s="19" t="s">
        <v>127</v>
      </c>
      <c r="D286" s="19" t="s">
        <v>128</v>
      </c>
      <c r="E286" s="19" t="s">
        <v>129</v>
      </c>
      <c r="F286" s="19" t="s">
        <v>27</v>
      </c>
      <c r="G286" s="19" t="s">
        <v>28</v>
      </c>
      <c r="H286" s="19" t="s">
        <v>151</v>
      </c>
      <c r="I286" s="19" t="s">
        <v>152</v>
      </c>
      <c r="J286" s="19" t="s">
        <v>45</v>
      </c>
      <c r="K286" s="19" t="s">
        <v>153</v>
      </c>
      <c r="L286" s="20">
        <v>7</v>
      </c>
      <c r="M286" s="19">
        <v>3200</v>
      </c>
      <c r="N286" s="19">
        <v>0.05</v>
      </c>
      <c r="O286" s="19">
        <v>22400</v>
      </c>
      <c r="P286" s="19">
        <v>1120</v>
      </c>
      <c r="Q286" s="19">
        <v>0</v>
      </c>
      <c r="R286" s="19">
        <v>14658.74</v>
      </c>
      <c r="S286" s="19">
        <v>0</v>
      </c>
      <c r="T286" s="21">
        <f>IFERROR(Raw_Data!$S286/Raw_Data!$Q286,0)</f>
        <v>0</v>
      </c>
      <c r="U286" s="19" t="s">
        <v>54</v>
      </c>
      <c r="V286" s="19" t="s">
        <v>88</v>
      </c>
      <c r="W286" s="19" t="s">
        <v>55</v>
      </c>
      <c r="X286" s="19" t="s">
        <v>75</v>
      </c>
    </row>
    <row r="287" spans="1:24" x14ac:dyDescent="0.35">
      <c r="A287" s="13" t="s">
        <v>226</v>
      </c>
      <c r="B287" s="14">
        <v>46010</v>
      </c>
      <c r="C287" s="4" t="s">
        <v>142</v>
      </c>
      <c r="D287" s="4" t="s">
        <v>143</v>
      </c>
      <c r="E287" s="4" t="s">
        <v>144</v>
      </c>
      <c r="F287" s="4" t="s">
        <v>87</v>
      </c>
      <c r="G287" s="4" t="s">
        <v>28</v>
      </c>
      <c r="H287" s="4" t="s">
        <v>99</v>
      </c>
      <c r="I287" s="4" t="s">
        <v>100</v>
      </c>
      <c r="J287" s="4" t="s">
        <v>101</v>
      </c>
      <c r="K287" s="4" t="s">
        <v>102</v>
      </c>
      <c r="L287" s="15">
        <v>8</v>
      </c>
      <c r="M287" s="4">
        <v>12500</v>
      </c>
      <c r="N287" s="4">
        <v>0.05</v>
      </c>
      <c r="O287" s="4">
        <v>100000</v>
      </c>
      <c r="P287" s="4">
        <v>5000</v>
      </c>
      <c r="Q287" s="4">
        <v>95000</v>
      </c>
      <c r="R287" s="4">
        <v>55844.19</v>
      </c>
      <c r="S287" s="4">
        <v>39155.81</v>
      </c>
      <c r="T287" s="16">
        <f>IFERROR(Raw_Data!$S287/Raw_Data!$Q287,0)</f>
        <v>0.41216642105263157</v>
      </c>
      <c r="U287" s="4" t="s">
        <v>33</v>
      </c>
      <c r="V287" s="4" t="s">
        <v>64</v>
      </c>
      <c r="W287" s="4" t="s">
        <v>55</v>
      </c>
      <c r="X287" s="4" t="s">
        <v>36</v>
      </c>
    </row>
    <row r="288" spans="1:24" x14ac:dyDescent="0.35">
      <c r="A288" s="17" t="s">
        <v>373</v>
      </c>
      <c r="B288" s="18">
        <v>46011</v>
      </c>
      <c r="C288" s="19" t="s">
        <v>115</v>
      </c>
      <c r="D288" s="19" t="s">
        <v>116</v>
      </c>
      <c r="E288" s="19" t="s">
        <v>117</v>
      </c>
      <c r="F288" s="19" t="s">
        <v>60</v>
      </c>
      <c r="G288" s="19" t="s">
        <v>97</v>
      </c>
      <c r="H288" s="19" t="s">
        <v>61</v>
      </c>
      <c r="I288" s="19" t="s">
        <v>62</v>
      </c>
      <c r="J288" s="19" t="s">
        <v>45</v>
      </c>
      <c r="K288" s="19" t="s">
        <v>63</v>
      </c>
      <c r="L288" s="20">
        <v>2</v>
      </c>
      <c r="M288" s="19">
        <v>1800</v>
      </c>
      <c r="N288" s="19">
        <v>0.2</v>
      </c>
      <c r="O288" s="19">
        <v>3600</v>
      </c>
      <c r="P288" s="19">
        <v>720</v>
      </c>
      <c r="Q288" s="19">
        <v>2880</v>
      </c>
      <c r="R288" s="19">
        <v>2303.63</v>
      </c>
      <c r="S288" s="19">
        <v>576.37</v>
      </c>
      <c r="T288" s="21">
        <f>IFERROR(Raw_Data!$S288/Raw_Data!$Q288,0)</f>
        <v>0.20012847222222221</v>
      </c>
      <c r="U288" s="19" t="s">
        <v>113</v>
      </c>
      <c r="V288" s="19" t="s">
        <v>70</v>
      </c>
      <c r="W288" s="19" t="s">
        <v>48</v>
      </c>
      <c r="X288" s="19" t="s">
        <v>36</v>
      </c>
    </row>
    <row r="289" spans="1:24" x14ac:dyDescent="0.35">
      <c r="A289" s="13" t="s">
        <v>216</v>
      </c>
      <c r="B289" s="14">
        <v>46012</v>
      </c>
      <c r="C289" s="4" t="s">
        <v>77</v>
      </c>
      <c r="D289" s="4" t="s">
        <v>78</v>
      </c>
      <c r="E289" s="4" t="s">
        <v>79</v>
      </c>
      <c r="F289" s="4" t="s">
        <v>60</v>
      </c>
      <c r="G289" s="4" t="s">
        <v>28</v>
      </c>
      <c r="H289" s="4" t="s">
        <v>43</v>
      </c>
      <c r="I289" s="4" t="s">
        <v>44</v>
      </c>
      <c r="J289" s="4" t="s">
        <v>45</v>
      </c>
      <c r="K289" s="4" t="s">
        <v>46</v>
      </c>
      <c r="L289" s="15">
        <v>4</v>
      </c>
      <c r="M289" s="4">
        <v>8900</v>
      </c>
      <c r="N289" s="4">
        <v>0.05</v>
      </c>
      <c r="O289" s="4">
        <v>35600</v>
      </c>
      <c r="P289" s="4">
        <v>1780</v>
      </c>
      <c r="Q289" s="4">
        <v>33820</v>
      </c>
      <c r="R289" s="4">
        <v>25004.83</v>
      </c>
      <c r="S289" s="4">
        <v>8815.17</v>
      </c>
      <c r="T289" s="16">
        <f>IFERROR(Raw_Data!$S289/Raw_Data!$Q289,0)</f>
        <v>0.26064961561206385</v>
      </c>
      <c r="U289" s="4" t="s">
        <v>113</v>
      </c>
      <c r="V289" s="4" t="s">
        <v>70</v>
      </c>
      <c r="W289" s="4" t="s">
        <v>65</v>
      </c>
      <c r="X289" s="4" t="s">
        <v>36</v>
      </c>
    </row>
    <row r="290" spans="1:24" x14ac:dyDescent="0.35">
      <c r="A290" s="17" t="s">
        <v>372</v>
      </c>
      <c r="B290" s="18">
        <v>46012</v>
      </c>
      <c r="C290" s="19" t="s">
        <v>170</v>
      </c>
      <c r="D290" s="19" t="s">
        <v>171</v>
      </c>
      <c r="E290" s="19" t="s">
        <v>172</v>
      </c>
      <c r="F290" s="19" t="s">
        <v>27</v>
      </c>
      <c r="G290" s="19" t="s">
        <v>97</v>
      </c>
      <c r="H290" s="19" t="s">
        <v>72</v>
      </c>
      <c r="I290" s="19" t="s">
        <v>73</v>
      </c>
      <c r="J290" s="19" t="s">
        <v>45</v>
      </c>
      <c r="K290" s="19" t="s">
        <v>74</v>
      </c>
      <c r="L290" s="20">
        <v>4</v>
      </c>
      <c r="M290" s="19">
        <v>4200</v>
      </c>
      <c r="N290" s="19">
        <v>0</v>
      </c>
      <c r="O290" s="19">
        <v>16800</v>
      </c>
      <c r="P290" s="19">
        <v>0</v>
      </c>
      <c r="Q290" s="19">
        <v>16800</v>
      </c>
      <c r="R290" s="19">
        <v>12436.51</v>
      </c>
      <c r="S290" s="19">
        <v>4363.49</v>
      </c>
      <c r="T290" s="21">
        <f>IFERROR(Raw_Data!$S290/Raw_Data!$Q290,0)</f>
        <v>0.2597315476190476</v>
      </c>
      <c r="U290" s="19" t="s">
        <v>113</v>
      </c>
      <c r="V290" s="19" t="s">
        <v>88</v>
      </c>
      <c r="W290" s="19" t="s">
        <v>55</v>
      </c>
      <c r="X290" s="19" t="s">
        <v>36</v>
      </c>
    </row>
    <row r="291" spans="1:24" x14ac:dyDescent="0.35">
      <c r="A291" s="13" t="s">
        <v>330</v>
      </c>
      <c r="B291" s="14">
        <v>46013</v>
      </c>
      <c r="C291" s="4" t="s">
        <v>67</v>
      </c>
      <c r="D291" s="4" t="s">
        <v>68</v>
      </c>
      <c r="E291" s="4" t="s">
        <v>69</v>
      </c>
      <c r="F291" s="4" t="s">
        <v>41</v>
      </c>
      <c r="G291" s="4" t="s">
        <v>28</v>
      </c>
      <c r="H291" s="4" t="s">
        <v>61</v>
      </c>
      <c r="I291" s="4" t="s">
        <v>62</v>
      </c>
      <c r="J291" s="4" t="s">
        <v>45</v>
      </c>
      <c r="K291" s="4" t="s">
        <v>63</v>
      </c>
      <c r="L291" s="15">
        <v>8</v>
      </c>
      <c r="M291" s="4">
        <v>1800</v>
      </c>
      <c r="N291" s="4">
        <v>0</v>
      </c>
      <c r="O291" s="4">
        <v>14400</v>
      </c>
      <c r="P291" s="4">
        <v>0</v>
      </c>
      <c r="Q291" s="4">
        <v>14400</v>
      </c>
      <c r="R291" s="4">
        <v>8775.83</v>
      </c>
      <c r="S291" s="4">
        <v>5624.17</v>
      </c>
      <c r="T291" s="16">
        <f>IFERROR(Raw_Data!$S291/Raw_Data!$Q291,0)</f>
        <v>0.39056736111111112</v>
      </c>
      <c r="U291" s="4" t="s">
        <v>113</v>
      </c>
      <c r="V291" s="4" t="s">
        <v>88</v>
      </c>
      <c r="W291" s="4" t="s">
        <v>55</v>
      </c>
      <c r="X291" s="4" t="s">
        <v>36</v>
      </c>
    </row>
    <row r="292" spans="1:24" x14ac:dyDescent="0.35">
      <c r="A292" s="17" t="s">
        <v>193</v>
      </c>
      <c r="B292" s="18">
        <v>46014</v>
      </c>
      <c r="C292" s="19" t="s">
        <v>38</v>
      </c>
      <c r="D292" s="19" t="s">
        <v>39</v>
      </c>
      <c r="E292" s="19" t="s">
        <v>40</v>
      </c>
      <c r="F292" s="19" t="s">
        <v>41</v>
      </c>
      <c r="G292" s="19" t="s">
        <v>42</v>
      </c>
      <c r="H292" s="19" t="s">
        <v>151</v>
      </c>
      <c r="I292" s="19" t="s">
        <v>152</v>
      </c>
      <c r="J292" s="19" t="s">
        <v>45</v>
      </c>
      <c r="K292" s="19" t="s">
        <v>153</v>
      </c>
      <c r="L292" s="20">
        <v>7</v>
      </c>
      <c r="M292" s="19">
        <v>3200</v>
      </c>
      <c r="N292" s="19">
        <v>0.1</v>
      </c>
      <c r="O292" s="19">
        <v>22400</v>
      </c>
      <c r="P292" s="19">
        <v>2240</v>
      </c>
      <c r="Q292" s="19">
        <v>20160</v>
      </c>
      <c r="R292" s="19">
        <v>13626.48</v>
      </c>
      <c r="S292" s="19">
        <v>6533.52</v>
      </c>
      <c r="T292" s="21">
        <f>IFERROR(Raw_Data!$S292/Raw_Data!$Q292,0)</f>
        <v>0.32408333333333333</v>
      </c>
      <c r="U292" s="19" t="s">
        <v>33</v>
      </c>
      <c r="V292" s="19" t="s">
        <v>34</v>
      </c>
      <c r="W292" s="19" t="s">
        <v>35</v>
      </c>
      <c r="X292" s="19" t="s">
        <v>36</v>
      </c>
    </row>
    <row r="293" spans="1:24" x14ac:dyDescent="0.35">
      <c r="A293" s="13" t="s">
        <v>236</v>
      </c>
      <c r="B293" s="14">
        <v>46015</v>
      </c>
      <c r="C293" s="4" t="s">
        <v>131</v>
      </c>
      <c r="D293" s="4" t="s">
        <v>132</v>
      </c>
      <c r="E293" s="4" t="s">
        <v>133</v>
      </c>
      <c r="F293" s="4" t="s">
        <v>27</v>
      </c>
      <c r="G293" s="4" t="s">
        <v>28</v>
      </c>
      <c r="H293" s="4" t="s">
        <v>99</v>
      </c>
      <c r="I293" s="4" t="s">
        <v>100</v>
      </c>
      <c r="J293" s="4" t="s">
        <v>101</v>
      </c>
      <c r="K293" s="4" t="s">
        <v>102</v>
      </c>
      <c r="L293" s="15">
        <v>8</v>
      </c>
      <c r="M293" s="4">
        <v>12500</v>
      </c>
      <c r="N293" s="4">
        <v>0</v>
      </c>
      <c r="O293" s="4">
        <v>100000</v>
      </c>
      <c r="P293" s="4">
        <v>0</v>
      </c>
      <c r="Q293" s="4">
        <v>0</v>
      </c>
      <c r="R293" s="4">
        <v>58692.87</v>
      </c>
      <c r="S293" s="4">
        <v>0</v>
      </c>
      <c r="T293" s="16">
        <f>IFERROR(Raw_Data!$S293/Raw_Data!$Q293,0)</f>
        <v>0</v>
      </c>
      <c r="U293" s="4" t="s">
        <v>33</v>
      </c>
      <c r="V293" s="4" t="s">
        <v>88</v>
      </c>
      <c r="W293" s="4" t="s">
        <v>48</v>
      </c>
      <c r="X293" s="4" t="s">
        <v>75</v>
      </c>
    </row>
    <row r="294" spans="1:24" x14ac:dyDescent="0.35">
      <c r="A294" s="17" t="s">
        <v>404</v>
      </c>
      <c r="B294" s="18">
        <v>46015</v>
      </c>
      <c r="C294" s="19" t="s">
        <v>155</v>
      </c>
      <c r="D294" s="19" t="s">
        <v>156</v>
      </c>
      <c r="E294" s="19" t="s">
        <v>157</v>
      </c>
      <c r="F294" s="19" t="s">
        <v>60</v>
      </c>
      <c r="G294" s="19" t="s">
        <v>97</v>
      </c>
      <c r="H294" s="19" t="s">
        <v>110</v>
      </c>
      <c r="I294" s="19" t="s">
        <v>111</v>
      </c>
      <c r="J294" s="19" t="s">
        <v>101</v>
      </c>
      <c r="K294" s="19" t="s">
        <v>112</v>
      </c>
      <c r="L294" s="20">
        <v>7</v>
      </c>
      <c r="M294" s="19">
        <v>22000</v>
      </c>
      <c r="N294" s="19">
        <v>0</v>
      </c>
      <c r="O294" s="19">
        <v>154000</v>
      </c>
      <c r="P294" s="19">
        <v>0</v>
      </c>
      <c r="Q294" s="19">
        <v>154000</v>
      </c>
      <c r="R294" s="19">
        <v>93275.33</v>
      </c>
      <c r="S294" s="19">
        <v>60724.67</v>
      </c>
      <c r="T294" s="21">
        <f>IFERROR(Raw_Data!$S294/Raw_Data!$Q294,0)</f>
        <v>0.39431603896103895</v>
      </c>
      <c r="U294" s="19" t="s">
        <v>33</v>
      </c>
      <c r="V294" s="19" t="s">
        <v>88</v>
      </c>
      <c r="W294" s="19" t="s">
        <v>48</v>
      </c>
      <c r="X294" s="19" t="s">
        <v>36</v>
      </c>
    </row>
    <row r="295" spans="1:24" x14ac:dyDescent="0.35">
      <c r="A295" s="13" t="s">
        <v>229</v>
      </c>
      <c r="B295" s="14">
        <v>46016</v>
      </c>
      <c r="C295" s="4" t="s">
        <v>90</v>
      </c>
      <c r="D295" s="4" t="s">
        <v>91</v>
      </c>
      <c r="E295" s="4" t="s">
        <v>92</v>
      </c>
      <c r="F295" s="4" t="s">
        <v>60</v>
      </c>
      <c r="G295" s="4" t="s">
        <v>42</v>
      </c>
      <c r="H295" s="4" t="s">
        <v>61</v>
      </c>
      <c r="I295" s="4" t="s">
        <v>62</v>
      </c>
      <c r="J295" s="4" t="s">
        <v>45</v>
      </c>
      <c r="K295" s="4" t="s">
        <v>63</v>
      </c>
      <c r="L295" s="15">
        <v>7</v>
      </c>
      <c r="M295" s="4">
        <v>1800</v>
      </c>
      <c r="N295" s="4">
        <v>0.05</v>
      </c>
      <c r="O295" s="4">
        <v>12600</v>
      </c>
      <c r="P295" s="4">
        <v>630</v>
      </c>
      <c r="Q295" s="4">
        <v>11970</v>
      </c>
      <c r="R295" s="4">
        <v>8380.36</v>
      </c>
      <c r="S295" s="4">
        <v>3589.64</v>
      </c>
      <c r="T295" s="16">
        <f>IFERROR(Raw_Data!$S295/Raw_Data!$Q295,0)</f>
        <v>0.2998863826232247</v>
      </c>
      <c r="U295" s="4" t="s">
        <v>113</v>
      </c>
      <c r="V295" s="4" t="s">
        <v>47</v>
      </c>
      <c r="W295" s="4" t="s">
        <v>35</v>
      </c>
      <c r="X295" s="4" t="s">
        <v>36</v>
      </c>
    </row>
    <row r="296" spans="1:24" x14ac:dyDescent="0.35">
      <c r="A296" s="17" t="s">
        <v>83</v>
      </c>
      <c r="B296" s="18">
        <v>46017</v>
      </c>
      <c r="C296" s="19" t="s">
        <v>84</v>
      </c>
      <c r="D296" s="19" t="s">
        <v>85</v>
      </c>
      <c r="E296" s="19" t="s">
        <v>86</v>
      </c>
      <c r="F296" s="19" t="s">
        <v>87</v>
      </c>
      <c r="G296" s="19" t="s">
        <v>42</v>
      </c>
      <c r="H296" s="19" t="s">
        <v>61</v>
      </c>
      <c r="I296" s="19" t="s">
        <v>62</v>
      </c>
      <c r="J296" s="19" t="s">
        <v>45</v>
      </c>
      <c r="K296" s="19" t="s">
        <v>63</v>
      </c>
      <c r="L296" s="20">
        <v>2</v>
      </c>
      <c r="M296" s="19">
        <v>1800</v>
      </c>
      <c r="N296" s="19">
        <v>0.15</v>
      </c>
      <c r="O296" s="19">
        <v>3600</v>
      </c>
      <c r="P296" s="19">
        <v>540</v>
      </c>
      <c r="Q296" s="19">
        <v>-3060</v>
      </c>
      <c r="R296" s="19">
        <v>2241.13</v>
      </c>
      <c r="S296" s="19">
        <v>-818.87</v>
      </c>
      <c r="T296" s="21">
        <f>IFERROR(Raw_Data!$S296/Raw_Data!$Q296,0)</f>
        <v>0.26760457516339869</v>
      </c>
      <c r="U296" s="19" t="s">
        <v>33</v>
      </c>
      <c r="V296" s="19" t="s">
        <v>88</v>
      </c>
      <c r="W296" s="19" t="s">
        <v>48</v>
      </c>
      <c r="X296" s="19" t="s">
        <v>49</v>
      </c>
    </row>
    <row r="297" spans="1:24" x14ac:dyDescent="0.35">
      <c r="A297" s="13" t="s">
        <v>181</v>
      </c>
      <c r="B297" s="14">
        <v>46017</v>
      </c>
      <c r="C297" s="4" t="s">
        <v>170</v>
      </c>
      <c r="D297" s="4" t="s">
        <v>171</v>
      </c>
      <c r="E297" s="4" t="s">
        <v>172</v>
      </c>
      <c r="F297" s="4" t="s">
        <v>27</v>
      </c>
      <c r="G297" s="4" t="s">
        <v>97</v>
      </c>
      <c r="H297" s="4" t="s">
        <v>118</v>
      </c>
      <c r="I297" s="4" t="s">
        <v>119</v>
      </c>
      <c r="J297" s="4" t="s">
        <v>31</v>
      </c>
      <c r="K297" s="4" t="s">
        <v>120</v>
      </c>
      <c r="L297" s="15">
        <v>2</v>
      </c>
      <c r="M297" s="4">
        <v>14500</v>
      </c>
      <c r="N297" s="4">
        <v>0.1</v>
      </c>
      <c r="O297" s="4">
        <v>29000</v>
      </c>
      <c r="P297" s="4">
        <v>2900</v>
      </c>
      <c r="Q297" s="4">
        <v>26100</v>
      </c>
      <c r="R297" s="4">
        <v>20601.25</v>
      </c>
      <c r="S297" s="4">
        <v>5498.75</v>
      </c>
      <c r="T297" s="16">
        <f>IFERROR(Raw_Data!$S297/Raw_Data!$Q297,0)</f>
        <v>0.2106800766283525</v>
      </c>
      <c r="U297" s="4" t="s">
        <v>54</v>
      </c>
      <c r="V297" s="4" t="s">
        <v>88</v>
      </c>
      <c r="W297" s="4" t="s">
        <v>55</v>
      </c>
      <c r="X297" s="4" t="s">
        <v>36</v>
      </c>
    </row>
    <row r="298" spans="1:24" x14ac:dyDescent="0.35">
      <c r="A298" s="17" t="s">
        <v>395</v>
      </c>
      <c r="B298" s="18">
        <v>46018</v>
      </c>
      <c r="C298" s="19" t="s">
        <v>77</v>
      </c>
      <c r="D298" s="19" t="s">
        <v>78</v>
      </c>
      <c r="E298" s="19" t="s">
        <v>79</v>
      </c>
      <c r="F298" s="19" t="s">
        <v>60</v>
      </c>
      <c r="G298" s="19" t="s">
        <v>28</v>
      </c>
      <c r="H298" s="19" t="s">
        <v>162</v>
      </c>
      <c r="I298" s="19" t="s">
        <v>163</v>
      </c>
      <c r="J298" s="19" t="s">
        <v>31</v>
      </c>
      <c r="K298" s="19" t="s">
        <v>164</v>
      </c>
      <c r="L298" s="20">
        <v>4</v>
      </c>
      <c r="M298" s="19">
        <v>16500</v>
      </c>
      <c r="N298" s="19">
        <v>0.1</v>
      </c>
      <c r="O298" s="19">
        <v>66000</v>
      </c>
      <c r="P298" s="19">
        <v>6600</v>
      </c>
      <c r="Q298" s="19">
        <v>-59400</v>
      </c>
      <c r="R298" s="19">
        <v>47498.04</v>
      </c>
      <c r="S298" s="19">
        <v>-11901.96</v>
      </c>
      <c r="T298" s="21">
        <f>IFERROR(Raw_Data!$S298/Raw_Data!$Q298,0)</f>
        <v>0.20036969696969695</v>
      </c>
      <c r="U298" s="19" t="s">
        <v>113</v>
      </c>
      <c r="V298" s="19" t="s">
        <v>64</v>
      </c>
      <c r="W298" s="19" t="s">
        <v>55</v>
      </c>
      <c r="X298" s="19" t="s">
        <v>49</v>
      </c>
    </row>
    <row r="299" spans="1:24" x14ac:dyDescent="0.35">
      <c r="A299" s="13" t="s">
        <v>436</v>
      </c>
      <c r="B299" s="14">
        <v>46018</v>
      </c>
      <c r="C299" s="4" t="s">
        <v>94</v>
      </c>
      <c r="D299" s="4" t="s">
        <v>95</v>
      </c>
      <c r="E299" s="4" t="s">
        <v>96</v>
      </c>
      <c r="F299" s="4" t="s">
        <v>60</v>
      </c>
      <c r="G299" s="4" t="s">
        <v>97</v>
      </c>
      <c r="H299" s="4" t="s">
        <v>29</v>
      </c>
      <c r="I299" s="4" t="s">
        <v>30</v>
      </c>
      <c r="J299" s="4" t="s">
        <v>31</v>
      </c>
      <c r="K299" s="4" t="s">
        <v>32</v>
      </c>
      <c r="L299" s="15">
        <v>4</v>
      </c>
      <c r="M299" s="4">
        <v>78000</v>
      </c>
      <c r="N299" s="4">
        <v>0</v>
      </c>
      <c r="O299" s="4">
        <v>312000</v>
      </c>
      <c r="P299" s="4">
        <v>0</v>
      </c>
      <c r="Q299" s="4">
        <v>0</v>
      </c>
      <c r="R299" s="4">
        <v>201802.46</v>
      </c>
      <c r="S299" s="4">
        <v>0</v>
      </c>
      <c r="T299" s="16">
        <f>IFERROR(Raw_Data!$S299/Raw_Data!$Q299,0)</f>
        <v>0</v>
      </c>
      <c r="U299" s="4" t="s">
        <v>54</v>
      </c>
      <c r="V299" s="4" t="s">
        <v>70</v>
      </c>
      <c r="W299" s="4" t="s">
        <v>35</v>
      </c>
      <c r="X299" s="4" t="s">
        <v>75</v>
      </c>
    </row>
    <row r="300" spans="1:24" x14ac:dyDescent="0.35">
      <c r="A300" s="17" t="s">
        <v>297</v>
      </c>
      <c r="B300" s="18">
        <v>46020</v>
      </c>
      <c r="C300" s="19" t="s">
        <v>146</v>
      </c>
      <c r="D300" s="19" t="s">
        <v>147</v>
      </c>
      <c r="E300" s="19" t="s">
        <v>148</v>
      </c>
      <c r="F300" s="19" t="s">
        <v>87</v>
      </c>
      <c r="G300" s="19" t="s">
        <v>28</v>
      </c>
      <c r="H300" s="19" t="s">
        <v>151</v>
      </c>
      <c r="I300" s="19" t="s">
        <v>152</v>
      </c>
      <c r="J300" s="19" t="s">
        <v>45</v>
      </c>
      <c r="K300" s="19" t="s">
        <v>153</v>
      </c>
      <c r="L300" s="20">
        <v>8</v>
      </c>
      <c r="M300" s="19">
        <v>3200</v>
      </c>
      <c r="N300" s="19">
        <v>0.1</v>
      </c>
      <c r="O300" s="19">
        <v>25600</v>
      </c>
      <c r="P300" s="19">
        <v>2560</v>
      </c>
      <c r="Q300" s="19">
        <v>-23040</v>
      </c>
      <c r="R300" s="19">
        <v>16261.09</v>
      </c>
      <c r="S300" s="19">
        <v>-6778.91</v>
      </c>
      <c r="T300" s="21">
        <f>IFERROR(Raw_Data!$S300/Raw_Data!$Q300,0)</f>
        <v>0.29422352430555554</v>
      </c>
      <c r="U300" s="19" t="s">
        <v>54</v>
      </c>
      <c r="V300" s="19" t="s">
        <v>64</v>
      </c>
      <c r="W300" s="19" t="s">
        <v>65</v>
      </c>
      <c r="X300" s="19" t="s">
        <v>49</v>
      </c>
    </row>
    <row r="301" spans="1:24" x14ac:dyDescent="0.35">
      <c r="A301" s="13" t="s">
        <v>301</v>
      </c>
      <c r="B301" s="14">
        <v>46020</v>
      </c>
      <c r="C301" s="4" t="s">
        <v>122</v>
      </c>
      <c r="D301" s="4" t="s">
        <v>123</v>
      </c>
      <c r="E301" s="4" t="s">
        <v>124</v>
      </c>
      <c r="F301" s="4" t="s">
        <v>87</v>
      </c>
      <c r="G301" s="4" t="s">
        <v>42</v>
      </c>
      <c r="H301" s="4" t="s">
        <v>162</v>
      </c>
      <c r="I301" s="4" t="s">
        <v>163</v>
      </c>
      <c r="J301" s="4" t="s">
        <v>31</v>
      </c>
      <c r="K301" s="4" t="s">
        <v>164</v>
      </c>
      <c r="L301" s="15">
        <v>2</v>
      </c>
      <c r="M301" s="4">
        <v>16500</v>
      </c>
      <c r="N301" s="4">
        <v>0.05</v>
      </c>
      <c r="O301" s="4">
        <v>33000</v>
      </c>
      <c r="P301" s="4">
        <v>1650</v>
      </c>
      <c r="Q301" s="4">
        <v>0</v>
      </c>
      <c r="R301" s="4">
        <v>22388.33</v>
      </c>
      <c r="S301" s="4">
        <v>0</v>
      </c>
      <c r="T301" s="16">
        <f>IFERROR(Raw_Data!$S301/Raw_Data!$Q301,0)</f>
        <v>0</v>
      </c>
      <c r="U301" s="4" t="s">
        <v>113</v>
      </c>
      <c r="V301" s="4" t="s">
        <v>88</v>
      </c>
      <c r="W301" s="4" t="s">
        <v>35</v>
      </c>
      <c r="X301" s="4" t="s">
        <v>75</v>
      </c>
    </row>
    <row r="307" spans="13:22" x14ac:dyDescent="0.35">
      <c r="V307" t="str" cm="1">
        <f t="array" ref="V307:V311">_xlfn.UNIQUE(X:X)</f>
        <v>Order_Status</v>
      </c>
    </row>
    <row r="308" spans="13:22" x14ac:dyDescent="0.35">
      <c r="Q308">
        <f>_xlfn.XLOOKUP(H296,Raw_Data!$H$2:$H$301,Raw_Data!$M$2:$M$301)</f>
        <v>1800</v>
      </c>
      <c r="V308" t="str">
        <v>Returned</v>
      </c>
    </row>
    <row r="309" spans="13:22" x14ac:dyDescent="0.35">
      <c r="M309">
        <f>COUNTIF(N:N,"&lt;0")+COUNTIF(N:N,""&gt;1)</f>
        <v>0</v>
      </c>
      <c r="V309" t="str">
        <v>Cancelled</v>
      </c>
    </row>
    <row r="310" spans="13:22" x14ac:dyDescent="0.35">
      <c r="V310" t="str">
        <v>Completed</v>
      </c>
    </row>
    <row r="311" spans="13:22" x14ac:dyDescent="0.35">
      <c r="V311">
        <v>0</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pane ySplit="1" topLeftCell="A2" activePane="bottomLeft" state="frozen"/>
      <selection pane="bottomLeft"/>
    </sheetView>
  </sheetViews>
  <sheetFormatPr defaultRowHeight="14.5" x14ac:dyDescent="0.35"/>
  <cols>
    <col min="1" max="1" width="13" customWidth="1"/>
    <col min="2" max="2" width="15" customWidth="1"/>
    <col min="3" max="3" width="20" customWidth="1"/>
    <col min="4" max="4" width="12" customWidth="1"/>
    <col min="5" max="5" width="18" customWidth="1"/>
  </cols>
  <sheetData>
    <row r="1" spans="1:5" x14ac:dyDescent="0.35">
      <c r="A1" s="1" t="s">
        <v>2</v>
      </c>
      <c r="B1" s="1" t="s">
        <v>3</v>
      </c>
      <c r="C1" s="1" t="s">
        <v>4</v>
      </c>
      <c r="D1" s="1" t="s">
        <v>5</v>
      </c>
      <c r="E1" s="1" t="s">
        <v>6</v>
      </c>
    </row>
    <row r="2" spans="1:5" x14ac:dyDescent="0.35">
      <c r="A2" t="s">
        <v>155</v>
      </c>
      <c r="B2" t="s">
        <v>156</v>
      </c>
      <c r="C2" t="s">
        <v>157</v>
      </c>
      <c r="D2" t="s">
        <v>60</v>
      </c>
      <c r="E2" t="s">
        <v>97</v>
      </c>
    </row>
    <row r="3" spans="1:5" x14ac:dyDescent="0.35">
      <c r="A3" t="s">
        <v>146</v>
      </c>
      <c r="B3" t="s">
        <v>147</v>
      </c>
      <c r="C3" t="s">
        <v>148</v>
      </c>
      <c r="D3" t="s">
        <v>87</v>
      </c>
      <c r="E3" t="s">
        <v>28</v>
      </c>
    </row>
    <row r="4" spans="1:5" x14ac:dyDescent="0.35">
      <c r="A4" t="s">
        <v>135</v>
      </c>
      <c r="B4" t="s">
        <v>136</v>
      </c>
      <c r="C4" t="s">
        <v>137</v>
      </c>
      <c r="D4" t="s">
        <v>27</v>
      </c>
      <c r="E4" t="s">
        <v>97</v>
      </c>
    </row>
    <row r="5" spans="1:5" x14ac:dyDescent="0.35">
      <c r="A5" t="s">
        <v>24</v>
      </c>
      <c r="B5" t="s">
        <v>25</v>
      </c>
      <c r="C5" t="s">
        <v>26</v>
      </c>
      <c r="D5" t="s">
        <v>27</v>
      </c>
      <c r="E5" t="s">
        <v>28</v>
      </c>
    </row>
    <row r="6" spans="1:5" x14ac:dyDescent="0.35">
      <c r="A6" t="s">
        <v>122</v>
      </c>
      <c r="B6" t="s">
        <v>123</v>
      </c>
      <c r="C6" t="s">
        <v>124</v>
      </c>
      <c r="D6" t="s">
        <v>87</v>
      </c>
      <c r="E6" t="s">
        <v>42</v>
      </c>
    </row>
    <row r="7" spans="1:5" x14ac:dyDescent="0.35">
      <c r="A7" t="s">
        <v>105</v>
      </c>
      <c r="B7" t="s">
        <v>106</v>
      </c>
      <c r="C7" t="s">
        <v>107</v>
      </c>
      <c r="D7" t="s">
        <v>108</v>
      </c>
      <c r="E7" t="s">
        <v>28</v>
      </c>
    </row>
    <row r="8" spans="1:5" x14ac:dyDescent="0.35">
      <c r="A8" t="s">
        <v>84</v>
      </c>
      <c r="B8" t="s">
        <v>85</v>
      </c>
      <c r="C8" t="s">
        <v>86</v>
      </c>
      <c r="D8" t="s">
        <v>87</v>
      </c>
      <c r="E8" t="s">
        <v>42</v>
      </c>
    </row>
    <row r="9" spans="1:5" x14ac:dyDescent="0.35">
      <c r="A9" t="s">
        <v>77</v>
      </c>
      <c r="B9" t="s">
        <v>78</v>
      </c>
      <c r="C9" t="s">
        <v>79</v>
      </c>
      <c r="D9" t="s">
        <v>60</v>
      </c>
      <c r="E9" t="s">
        <v>28</v>
      </c>
    </row>
    <row r="10" spans="1:5" x14ac:dyDescent="0.35">
      <c r="A10" t="s">
        <v>170</v>
      </c>
      <c r="B10" t="s">
        <v>171</v>
      </c>
      <c r="C10" t="s">
        <v>172</v>
      </c>
      <c r="D10" t="s">
        <v>27</v>
      </c>
      <c r="E10" t="s">
        <v>97</v>
      </c>
    </row>
    <row r="11" spans="1:5" x14ac:dyDescent="0.35">
      <c r="A11" t="s">
        <v>131</v>
      </c>
      <c r="B11" t="s">
        <v>132</v>
      </c>
      <c r="C11" t="s">
        <v>133</v>
      </c>
      <c r="D11" t="s">
        <v>27</v>
      </c>
      <c r="E11" t="s">
        <v>28</v>
      </c>
    </row>
    <row r="12" spans="1:5" x14ac:dyDescent="0.35">
      <c r="A12" t="s">
        <v>57</v>
      </c>
      <c r="B12" t="s">
        <v>58</v>
      </c>
      <c r="C12" t="s">
        <v>59</v>
      </c>
      <c r="D12" t="s">
        <v>60</v>
      </c>
      <c r="E12" t="s">
        <v>42</v>
      </c>
    </row>
    <row r="13" spans="1:5" x14ac:dyDescent="0.35">
      <c r="A13" t="s">
        <v>176</v>
      </c>
      <c r="B13" t="s">
        <v>177</v>
      </c>
      <c r="C13" t="s">
        <v>178</v>
      </c>
      <c r="D13" t="s">
        <v>108</v>
      </c>
      <c r="E13" t="s">
        <v>28</v>
      </c>
    </row>
    <row r="14" spans="1:5" x14ac:dyDescent="0.35">
      <c r="A14" t="s">
        <v>94</v>
      </c>
      <c r="B14" t="s">
        <v>95</v>
      </c>
      <c r="C14" t="s">
        <v>96</v>
      </c>
      <c r="D14" t="s">
        <v>60</v>
      </c>
      <c r="E14" t="s">
        <v>97</v>
      </c>
    </row>
    <row r="15" spans="1:5" x14ac:dyDescent="0.35">
      <c r="A15" t="s">
        <v>142</v>
      </c>
      <c r="B15" t="s">
        <v>143</v>
      </c>
      <c r="C15" t="s">
        <v>144</v>
      </c>
      <c r="D15" t="s">
        <v>87</v>
      </c>
      <c r="E15" t="s">
        <v>28</v>
      </c>
    </row>
    <row r="16" spans="1:5" x14ac:dyDescent="0.35">
      <c r="A16" t="s">
        <v>90</v>
      </c>
      <c r="B16" t="s">
        <v>91</v>
      </c>
      <c r="C16" t="s">
        <v>92</v>
      </c>
      <c r="D16" t="s">
        <v>60</v>
      </c>
      <c r="E16" t="s">
        <v>42</v>
      </c>
    </row>
    <row r="17" spans="1:5" x14ac:dyDescent="0.35">
      <c r="A17" t="s">
        <v>127</v>
      </c>
      <c r="B17" t="s">
        <v>128</v>
      </c>
      <c r="C17" t="s">
        <v>129</v>
      </c>
      <c r="D17" t="s">
        <v>27</v>
      </c>
      <c r="E17" t="s">
        <v>28</v>
      </c>
    </row>
    <row r="18" spans="1:5" x14ac:dyDescent="0.35">
      <c r="A18" t="s">
        <v>115</v>
      </c>
      <c r="B18" t="s">
        <v>116</v>
      </c>
      <c r="C18" t="s">
        <v>117</v>
      </c>
      <c r="D18" t="s">
        <v>60</v>
      </c>
      <c r="E18" t="s">
        <v>97</v>
      </c>
    </row>
    <row r="19" spans="1:5" x14ac:dyDescent="0.35">
      <c r="A19" t="s">
        <v>51</v>
      </c>
      <c r="B19" t="s">
        <v>52</v>
      </c>
      <c r="C19" t="s">
        <v>53</v>
      </c>
      <c r="D19" t="s">
        <v>27</v>
      </c>
      <c r="E19" t="s">
        <v>28</v>
      </c>
    </row>
    <row r="20" spans="1:5" x14ac:dyDescent="0.35">
      <c r="A20" t="s">
        <v>38</v>
      </c>
      <c r="B20" t="s">
        <v>39</v>
      </c>
      <c r="C20" t="s">
        <v>40</v>
      </c>
      <c r="D20" t="s">
        <v>41</v>
      </c>
      <c r="E20" t="s">
        <v>42</v>
      </c>
    </row>
    <row r="21" spans="1:5" x14ac:dyDescent="0.35">
      <c r="A21" t="s">
        <v>67</v>
      </c>
      <c r="B21" t="s">
        <v>68</v>
      </c>
      <c r="C21" t="s">
        <v>69</v>
      </c>
      <c r="D21" t="s">
        <v>41</v>
      </c>
      <c r="E21" t="s">
        <v>28</v>
      </c>
    </row>
  </sheetData>
  <autoFilter ref="A1:E21" xr:uid="{00000000-0009-0000-0000-000002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pane ySplit="1" topLeftCell="A2" activePane="bottomLeft" state="frozen"/>
      <selection pane="bottomLeft"/>
    </sheetView>
  </sheetViews>
  <sheetFormatPr defaultRowHeight="14.5" x14ac:dyDescent="0.35"/>
  <cols>
    <col min="1" max="1" width="12" customWidth="1"/>
    <col min="2" max="2" width="21" customWidth="1"/>
    <col min="3" max="3" width="13" customWidth="1"/>
    <col min="4" max="4" width="17" customWidth="1"/>
    <col min="5" max="5" width="12" customWidth="1"/>
  </cols>
  <sheetData>
    <row r="1" spans="1:5" x14ac:dyDescent="0.35">
      <c r="A1" s="1" t="s">
        <v>7</v>
      </c>
      <c r="B1" s="1" t="s">
        <v>8</v>
      </c>
      <c r="C1" s="1" t="s">
        <v>9</v>
      </c>
      <c r="D1" s="1" t="s">
        <v>10</v>
      </c>
      <c r="E1" s="1" t="s">
        <v>12</v>
      </c>
    </row>
    <row r="2" spans="1:5" x14ac:dyDescent="0.35">
      <c r="A2" t="s">
        <v>29</v>
      </c>
      <c r="B2" t="s">
        <v>30</v>
      </c>
      <c r="C2" t="s">
        <v>31</v>
      </c>
      <c r="D2" t="s">
        <v>32</v>
      </c>
      <c r="E2">
        <v>78000</v>
      </c>
    </row>
    <row r="3" spans="1:5" x14ac:dyDescent="0.35">
      <c r="A3" t="s">
        <v>80</v>
      </c>
      <c r="B3" t="s">
        <v>81</v>
      </c>
      <c r="C3" t="s">
        <v>31</v>
      </c>
      <c r="D3" t="s">
        <v>82</v>
      </c>
      <c r="E3">
        <v>62000</v>
      </c>
    </row>
    <row r="4" spans="1:5" x14ac:dyDescent="0.35">
      <c r="A4" t="s">
        <v>118</v>
      </c>
      <c r="B4" t="s">
        <v>119</v>
      </c>
      <c r="C4" t="s">
        <v>31</v>
      </c>
      <c r="D4" t="s">
        <v>120</v>
      </c>
      <c r="E4">
        <v>14500</v>
      </c>
    </row>
    <row r="5" spans="1:5" x14ac:dyDescent="0.35">
      <c r="A5" t="s">
        <v>151</v>
      </c>
      <c r="B5" t="s">
        <v>152</v>
      </c>
      <c r="C5" t="s">
        <v>45</v>
      </c>
      <c r="D5" t="s">
        <v>153</v>
      </c>
      <c r="E5">
        <v>3200</v>
      </c>
    </row>
    <row r="6" spans="1:5" x14ac:dyDescent="0.35">
      <c r="A6" t="s">
        <v>61</v>
      </c>
      <c r="B6" t="s">
        <v>62</v>
      </c>
      <c r="C6" t="s">
        <v>45</v>
      </c>
      <c r="D6" t="s">
        <v>63</v>
      </c>
      <c r="E6">
        <v>1800</v>
      </c>
    </row>
    <row r="7" spans="1:5" x14ac:dyDescent="0.35">
      <c r="A7" t="s">
        <v>72</v>
      </c>
      <c r="B7" t="s">
        <v>73</v>
      </c>
      <c r="C7" t="s">
        <v>45</v>
      </c>
      <c r="D7" t="s">
        <v>74</v>
      </c>
      <c r="E7">
        <v>4200</v>
      </c>
    </row>
    <row r="8" spans="1:5" x14ac:dyDescent="0.35">
      <c r="A8" t="s">
        <v>43</v>
      </c>
      <c r="B8" t="s">
        <v>44</v>
      </c>
      <c r="C8" t="s">
        <v>45</v>
      </c>
      <c r="D8" t="s">
        <v>46</v>
      </c>
      <c r="E8">
        <v>8900</v>
      </c>
    </row>
    <row r="9" spans="1:5" x14ac:dyDescent="0.35">
      <c r="A9" t="s">
        <v>99</v>
      </c>
      <c r="B9" t="s">
        <v>100</v>
      </c>
      <c r="C9" t="s">
        <v>101</v>
      </c>
      <c r="D9" t="s">
        <v>102</v>
      </c>
      <c r="E9">
        <v>12500</v>
      </c>
    </row>
    <row r="10" spans="1:5" x14ac:dyDescent="0.35">
      <c r="A10" t="s">
        <v>110</v>
      </c>
      <c r="B10" t="s">
        <v>111</v>
      </c>
      <c r="C10" t="s">
        <v>101</v>
      </c>
      <c r="D10" t="s">
        <v>112</v>
      </c>
      <c r="E10">
        <v>22000</v>
      </c>
    </row>
    <row r="11" spans="1:5" x14ac:dyDescent="0.35">
      <c r="A11" t="s">
        <v>162</v>
      </c>
      <c r="B11" t="s">
        <v>163</v>
      </c>
      <c r="C11" t="s">
        <v>31</v>
      </c>
      <c r="D11" t="s">
        <v>164</v>
      </c>
      <c r="E11">
        <v>16500</v>
      </c>
    </row>
  </sheetData>
  <autoFilter ref="A1:E11" xr:uid="{00000000-0009-0000-0000-000003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1F08-F296-4939-9CF2-92F19520FC55}">
  <dimension ref="A1:Q34"/>
  <sheetViews>
    <sheetView workbookViewId="0">
      <selection activeCell="R13" sqref="R13"/>
    </sheetView>
  </sheetViews>
  <sheetFormatPr defaultRowHeight="14.5" x14ac:dyDescent="0.35"/>
  <cols>
    <col min="2" max="2" width="10.36328125" bestFit="1" customWidth="1"/>
    <col min="3" max="7" width="8.7265625" customWidth="1"/>
    <col min="15" max="15" width="7.453125" customWidth="1"/>
    <col min="16" max="17" width="8.7265625" hidden="1" customWidth="1"/>
  </cols>
  <sheetData>
    <row r="1" spans="1:17" s="37" customFormat="1" ht="13" customHeight="1" x14ac:dyDescent="0.35"/>
    <row r="2" spans="1:17" s="37" customFormat="1" x14ac:dyDescent="0.35">
      <c r="A2" s="38"/>
    </row>
    <row r="3" spans="1:17" s="37" customFormat="1" x14ac:dyDescent="0.35"/>
    <row r="4" spans="1:17" x14ac:dyDescent="0.35">
      <c r="A4" s="33" t="s">
        <v>460</v>
      </c>
      <c r="B4" s="34" t="s">
        <v>461</v>
      </c>
      <c r="C4" s="29"/>
      <c r="D4" s="27"/>
      <c r="E4" s="28"/>
      <c r="F4" s="28"/>
      <c r="G4" s="28"/>
      <c r="H4" s="28"/>
      <c r="I4" s="28"/>
      <c r="J4" s="28"/>
      <c r="K4" s="28"/>
      <c r="L4" s="28"/>
      <c r="M4" s="28"/>
      <c r="N4" s="28"/>
      <c r="O4" s="28"/>
      <c r="P4" s="28"/>
      <c r="Q4" s="28"/>
    </row>
    <row r="5" spans="1:17" ht="29" customHeight="1" x14ac:dyDescent="0.35">
      <c r="A5" s="30" t="s">
        <v>462</v>
      </c>
      <c r="B5" s="31">
        <f>SUM(Table5[Net_Sales])</f>
        <v>12952130</v>
      </c>
      <c r="C5" s="35"/>
      <c r="D5" s="28"/>
      <c r="E5" s="28"/>
      <c r="F5" s="28"/>
      <c r="G5" s="28"/>
      <c r="H5" s="28"/>
      <c r="I5" s="28"/>
      <c r="J5" s="28"/>
      <c r="K5" s="28"/>
      <c r="L5" s="28"/>
      <c r="M5" s="28"/>
      <c r="N5" s="28"/>
      <c r="O5" s="28"/>
      <c r="P5" s="28"/>
      <c r="Q5" s="28"/>
    </row>
    <row r="6" spans="1:17" ht="29" customHeight="1" x14ac:dyDescent="0.35">
      <c r="A6" s="30" t="s">
        <v>463</v>
      </c>
      <c r="B6" s="31">
        <f>SUM(Table5[Profit])</f>
        <v>3887231.2099999995</v>
      </c>
      <c r="C6" s="35"/>
      <c r="D6" s="28"/>
      <c r="E6" s="28"/>
      <c r="F6" s="28"/>
      <c r="G6" s="28"/>
      <c r="H6" s="28"/>
      <c r="I6" s="28"/>
      <c r="J6" s="28"/>
      <c r="K6" s="28"/>
      <c r="L6" s="28"/>
      <c r="M6" s="28"/>
      <c r="N6" s="28"/>
      <c r="O6" s="28"/>
      <c r="P6" s="28"/>
      <c r="Q6" s="28"/>
    </row>
    <row r="7" spans="1:17" ht="29" customHeight="1" x14ac:dyDescent="0.35">
      <c r="A7" s="30" t="s">
        <v>464</v>
      </c>
      <c r="B7" s="31">
        <f>COUNTA(Table5[Order_ID])</f>
        <v>300</v>
      </c>
      <c r="C7" s="35"/>
      <c r="D7" s="28"/>
      <c r="E7" s="28"/>
      <c r="F7" s="28"/>
      <c r="G7" s="28"/>
      <c r="H7" s="28"/>
      <c r="I7" s="28"/>
      <c r="J7" s="28"/>
      <c r="K7" s="28"/>
      <c r="L7" s="28"/>
      <c r="M7" s="28"/>
      <c r="N7" s="28"/>
      <c r="O7" s="28"/>
      <c r="P7" s="28"/>
      <c r="Q7" s="28"/>
    </row>
    <row r="8" spans="1:17" ht="29" customHeight="1" x14ac:dyDescent="0.35">
      <c r="A8" s="30" t="s">
        <v>456</v>
      </c>
      <c r="B8" s="32">
        <f>IFERROR(B6/B5,0)</f>
        <v>0.30012293035971688</v>
      </c>
      <c r="C8" s="35"/>
      <c r="D8" s="28"/>
      <c r="E8" s="28"/>
      <c r="F8" s="28"/>
      <c r="G8" s="28"/>
      <c r="H8" s="28"/>
      <c r="I8" s="28"/>
      <c r="J8" s="28"/>
      <c r="K8" s="28"/>
      <c r="L8" s="28"/>
      <c r="M8" s="28"/>
      <c r="N8" s="28"/>
      <c r="O8" s="28"/>
      <c r="P8" s="28"/>
      <c r="Q8" s="28"/>
    </row>
    <row r="9" spans="1:17" x14ac:dyDescent="0.35">
      <c r="A9" s="35"/>
      <c r="B9" s="35"/>
      <c r="C9" s="35"/>
      <c r="D9" s="28"/>
      <c r="E9" s="28"/>
      <c r="F9" s="28"/>
      <c r="G9" s="28"/>
      <c r="H9" s="28"/>
      <c r="I9" s="28"/>
      <c r="J9" s="28"/>
      <c r="K9" s="28"/>
      <c r="L9" s="28"/>
      <c r="M9" s="28"/>
      <c r="N9" s="28"/>
      <c r="O9" s="28"/>
      <c r="P9" s="28"/>
      <c r="Q9" s="28"/>
    </row>
    <row r="10" spans="1:17" x14ac:dyDescent="0.35">
      <c r="A10" s="35"/>
      <c r="B10" s="35"/>
      <c r="C10" s="35"/>
      <c r="D10" s="28"/>
      <c r="E10" s="28"/>
      <c r="F10" s="28"/>
      <c r="G10" s="28"/>
      <c r="H10" s="28"/>
      <c r="I10" s="28"/>
      <c r="J10" s="28"/>
      <c r="K10" s="28"/>
      <c r="L10" s="28"/>
      <c r="M10" s="28"/>
      <c r="N10" s="28"/>
      <c r="O10" s="28"/>
      <c r="P10" s="28"/>
      <c r="Q10" s="28"/>
    </row>
    <row r="11" spans="1:17" x14ac:dyDescent="0.35">
      <c r="A11" s="36"/>
      <c r="B11" s="36"/>
      <c r="C11" s="36"/>
      <c r="D11" s="36"/>
      <c r="E11" s="36"/>
      <c r="F11" s="36"/>
      <c r="G11" s="36"/>
      <c r="H11" s="36"/>
      <c r="I11" s="36"/>
      <c r="J11" s="36"/>
      <c r="K11" s="36"/>
      <c r="L11" s="36"/>
      <c r="M11" s="36"/>
      <c r="N11" s="36"/>
      <c r="O11" s="36"/>
      <c r="P11" s="36"/>
      <c r="Q11" s="36"/>
    </row>
    <row r="12" spans="1:17" x14ac:dyDescent="0.35">
      <c r="A12" s="36"/>
      <c r="B12" s="36"/>
      <c r="C12" s="36"/>
      <c r="D12" s="36"/>
      <c r="E12" s="36"/>
      <c r="F12" s="36"/>
      <c r="G12" s="36"/>
      <c r="H12" s="36"/>
      <c r="I12" s="36"/>
      <c r="J12" s="36"/>
      <c r="K12" s="36"/>
      <c r="L12" s="36"/>
      <c r="M12" s="36"/>
      <c r="N12" s="36"/>
      <c r="O12" s="36"/>
      <c r="P12" s="36"/>
      <c r="Q12" s="36"/>
    </row>
    <row r="13" spans="1:17" x14ac:dyDescent="0.35">
      <c r="A13" s="36"/>
      <c r="B13" s="36"/>
      <c r="C13" s="36"/>
      <c r="D13" s="36"/>
      <c r="E13" s="36"/>
      <c r="F13" s="36"/>
      <c r="G13" s="36"/>
      <c r="H13" s="36"/>
      <c r="I13" s="36"/>
      <c r="J13" s="36"/>
      <c r="K13" s="36"/>
      <c r="L13" s="36"/>
      <c r="M13" s="36"/>
      <c r="N13" s="36"/>
      <c r="O13" s="36"/>
      <c r="P13" s="36"/>
      <c r="Q13" s="36"/>
    </row>
    <row r="14" spans="1:17" x14ac:dyDescent="0.35">
      <c r="A14" s="36"/>
      <c r="B14" s="36"/>
      <c r="C14" s="36"/>
      <c r="D14" s="36"/>
      <c r="E14" s="36"/>
      <c r="F14" s="36"/>
      <c r="G14" s="36"/>
      <c r="H14" s="36"/>
      <c r="I14" s="36"/>
      <c r="J14" s="36"/>
      <c r="K14" s="36"/>
      <c r="L14" s="36"/>
      <c r="M14" s="36"/>
      <c r="N14" s="36"/>
      <c r="O14" s="36"/>
      <c r="P14" s="36"/>
      <c r="Q14" s="36"/>
    </row>
    <row r="15" spans="1:17" x14ac:dyDescent="0.35">
      <c r="A15" s="36"/>
      <c r="B15" s="36"/>
      <c r="C15" s="36"/>
      <c r="D15" s="36"/>
      <c r="E15" s="36"/>
      <c r="F15" s="36"/>
      <c r="G15" s="36"/>
      <c r="H15" s="36"/>
      <c r="I15" s="36"/>
      <c r="J15" s="36"/>
      <c r="K15" s="36"/>
      <c r="L15" s="36"/>
      <c r="M15" s="36"/>
      <c r="N15" s="36"/>
      <c r="O15" s="36"/>
      <c r="P15" s="36"/>
      <c r="Q15" s="36"/>
    </row>
    <row r="16" spans="1:17" x14ac:dyDescent="0.35">
      <c r="A16" s="36"/>
      <c r="B16" s="36"/>
      <c r="C16" s="36"/>
      <c r="D16" s="36"/>
      <c r="E16" s="36"/>
      <c r="F16" s="36"/>
      <c r="G16" s="36"/>
      <c r="H16" s="36"/>
      <c r="I16" s="36"/>
      <c r="J16" s="36"/>
      <c r="K16" s="36"/>
      <c r="L16" s="36"/>
      <c r="M16" s="36"/>
      <c r="N16" s="36"/>
      <c r="O16" s="36"/>
      <c r="P16" s="36"/>
      <c r="Q16" s="36"/>
    </row>
    <row r="17" spans="1:17" x14ac:dyDescent="0.35">
      <c r="A17" s="36"/>
      <c r="B17" s="36"/>
      <c r="C17" s="36"/>
      <c r="D17" s="36"/>
      <c r="E17" s="36"/>
      <c r="F17" s="36"/>
      <c r="G17" s="36"/>
      <c r="H17" s="36"/>
      <c r="I17" s="36"/>
      <c r="J17" s="36"/>
      <c r="K17" s="36"/>
      <c r="L17" s="36"/>
      <c r="M17" s="36"/>
      <c r="N17" s="36"/>
      <c r="O17" s="36"/>
      <c r="P17" s="36"/>
      <c r="Q17" s="36"/>
    </row>
    <row r="18" spans="1:17" x14ac:dyDescent="0.35">
      <c r="A18" s="36"/>
      <c r="B18" s="36"/>
      <c r="C18" s="36"/>
      <c r="D18" s="36"/>
      <c r="E18" s="36"/>
      <c r="F18" s="36"/>
      <c r="G18" s="36"/>
      <c r="H18" s="36"/>
      <c r="I18" s="36"/>
      <c r="J18" s="36"/>
      <c r="K18" s="36"/>
      <c r="L18" s="36"/>
      <c r="M18" s="36"/>
      <c r="N18" s="36"/>
      <c r="O18" s="36"/>
      <c r="P18" s="36"/>
      <c r="Q18" s="36"/>
    </row>
    <row r="19" spans="1:17" x14ac:dyDescent="0.35">
      <c r="A19" s="36"/>
      <c r="B19" s="36"/>
      <c r="C19" s="36"/>
      <c r="D19" s="36"/>
      <c r="E19" s="36"/>
      <c r="F19" s="36"/>
      <c r="G19" s="36"/>
      <c r="H19" s="36"/>
      <c r="I19" s="36"/>
      <c r="J19" s="36"/>
      <c r="K19" s="36"/>
      <c r="L19" s="36"/>
      <c r="M19" s="36"/>
      <c r="N19" s="36"/>
      <c r="O19" s="36"/>
      <c r="P19" s="36"/>
      <c r="Q19" s="36"/>
    </row>
    <row r="20" spans="1:17" x14ac:dyDescent="0.35">
      <c r="A20" s="36"/>
      <c r="B20" s="36"/>
      <c r="C20" s="36"/>
      <c r="D20" s="36"/>
      <c r="E20" s="36"/>
      <c r="F20" s="36"/>
      <c r="G20" s="36"/>
      <c r="H20" s="36"/>
      <c r="I20" s="36"/>
      <c r="J20" s="36"/>
      <c r="K20" s="36"/>
      <c r="L20" s="36"/>
      <c r="M20" s="36"/>
      <c r="N20" s="36"/>
      <c r="O20" s="36"/>
      <c r="P20" s="36"/>
      <c r="Q20" s="36"/>
    </row>
    <row r="21" spans="1:17" x14ac:dyDescent="0.35">
      <c r="A21" s="36"/>
      <c r="B21" s="36"/>
      <c r="C21" s="36"/>
      <c r="D21" s="36"/>
      <c r="E21" s="36"/>
      <c r="F21" s="36"/>
      <c r="G21" s="36"/>
      <c r="H21" s="36"/>
      <c r="I21" s="36"/>
      <c r="J21" s="36"/>
      <c r="K21" s="36"/>
      <c r="L21" s="36"/>
      <c r="M21" s="36"/>
      <c r="N21" s="36"/>
      <c r="O21" s="36"/>
      <c r="P21" s="36"/>
      <c r="Q21" s="36"/>
    </row>
    <row r="22" spans="1:17" x14ac:dyDescent="0.35">
      <c r="A22" s="36"/>
      <c r="B22" s="36"/>
      <c r="C22" s="36"/>
      <c r="D22" s="36"/>
      <c r="E22" s="36"/>
      <c r="F22" s="36"/>
      <c r="G22" s="36"/>
      <c r="H22" s="36"/>
      <c r="I22" s="36"/>
      <c r="J22" s="36"/>
      <c r="K22" s="36"/>
      <c r="L22" s="36"/>
      <c r="M22" s="36"/>
      <c r="N22" s="36"/>
      <c r="O22" s="36"/>
      <c r="P22" s="36"/>
      <c r="Q22" s="36"/>
    </row>
    <row r="23" spans="1:17" x14ac:dyDescent="0.35">
      <c r="A23" s="36"/>
      <c r="B23" s="36"/>
      <c r="C23" s="36"/>
      <c r="D23" s="36"/>
      <c r="E23" s="36"/>
      <c r="F23" s="36"/>
      <c r="G23" s="36"/>
      <c r="H23" s="36"/>
      <c r="I23" s="36"/>
      <c r="J23" s="36"/>
      <c r="K23" s="36"/>
      <c r="L23" s="36"/>
      <c r="M23" s="36"/>
      <c r="N23" s="36"/>
      <c r="O23" s="36"/>
      <c r="P23" s="36"/>
      <c r="Q23" s="36"/>
    </row>
    <row r="24" spans="1:17" x14ac:dyDescent="0.35">
      <c r="A24" s="36"/>
      <c r="B24" s="36"/>
      <c r="C24" s="36"/>
      <c r="D24" s="36"/>
      <c r="E24" s="36"/>
      <c r="F24" s="36"/>
      <c r="G24" s="36"/>
      <c r="H24" s="36"/>
      <c r="I24" s="36"/>
      <c r="J24" s="36"/>
      <c r="K24" s="36"/>
      <c r="L24" s="36"/>
      <c r="M24" s="36"/>
      <c r="N24" s="36"/>
      <c r="O24" s="36"/>
      <c r="P24" s="36"/>
      <c r="Q24" s="36"/>
    </row>
    <row r="25" spans="1:17" x14ac:dyDescent="0.35">
      <c r="A25" s="36"/>
      <c r="B25" s="36"/>
      <c r="C25" s="36"/>
      <c r="D25" s="36"/>
      <c r="E25" s="36"/>
      <c r="F25" s="36"/>
      <c r="G25" s="36"/>
      <c r="H25" s="36"/>
      <c r="I25" s="36"/>
      <c r="J25" s="36"/>
      <c r="K25" s="36"/>
      <c r="L25" s="36"/>
      <c r="M25" s="36"/>
      <c r="N25" s="36"/>
      <c r="O25" s="36"/>
      <c r="P25" s="36"/>
      <c r="Q25" s="36"/>
    </row>
    <row r="26" spans="1:17" x14ac:dyDescent="0.35">
      <c r="A26" s="36"/>
      <c r="B26" s="36"/>
      <c r="C26" s="36"/>
      <c r="D26" s="36"/>
      <c r="E26" s="36"/>
      <c r="F26" s="36"/>
      <c r="G26" s="36"/>
      <c r="H26" s="36"/>
      <c r="I26" s="36"/>
      <c r="J26" s="36"/>
      <c r="K26" s="36"/>
      <c r="L26" s="36"/>
      <c r="M26" s="36"/>
      <c r="N26" s="36"/>
      <c r="O26" s="36"/>
      <c r="P26" s="36"/>
      <c r="Q26" s="36"/>
    </row>
    <row r="27" spans="1:17" x14ac:dyDescent="0.35">
      <c r="A27" s="36"/>
      <c r="B27" s="36"/>
      <c r="C27" s="36"/>
      <c r="D27" s="36"/>
      <c r="E27" s="36"/>
      <c r="F27" s="36"/>
      <c r="G27" s="36"/>
      <c r="H27" s="36"/>
      <c r="I27" s="36"/>
      <c r="J27" s="36"/>
      <c r="K27" s="36"/>
      <c r="L27" s="36"/>
      <c r="M27" s="36"/>
      <c r="N27" s="36"/>
      <c r="O27" s="36"/>
      <c r="P27" s="36"/>
      <c r="Q27" s="36"/>
    </row>
    <row r="28" spans="1:17" x14ac:dyDescent="0.35">
      <c r="A28" s="36"/>
      <c r="B28" s="36"/>
      <c r="C28" s="36"/>
      <c r="D28" s="36"/>
      <c r="E28" s="36"/>
      <c r="F28" s="36"/>
      <c r="G28" s="36"/>
      <c r="H28" s="36"/>
      <c r="I28" s="36"/>
      <c r="J28" s="36"/>
      <c r="K28" s="36"/>
      <c r="L28" s="36"/>
      <c r="M28" s="36"/>
      <c r="N28" s="36"/>
      <c r="O28" s="36"/>
      <c r="P28" s="36"/>
      <c r="Q28" s="36"/>
    </row>
    <row r="29" spans="1:17" x14ac:dyDescent="0.35">
      <c r="A29" s="36"/>
      <c r="B29" s="36"/>
      <c r="C29" s="36"/>
      <c r="D29" s="36"/>
      <c r="E29" s="36"/>
      <c r="F29" s="36"/>
      <c r="G29" s="36"/>
      <c r="H29" s="36"/>
      <c r="I29" s="36"/>
      <c r="J29" s="36"/>
      <c r="K29" s="36"/>
      <c r="L29" s="36"/>
      <c r="M29" s="36"/>
      <c r="N29" s="36"/>
      <c r="O29" s="36"/>
      <c r="P29" s="36"/>
      <c r="Q29" s="36"/>
    </row>
    <row r="30" spans="1:17" x14ac:dyDescent="0.35">
      <c r="A30" s="36"/>
      <c r="B30" s="36"/>
      <c r="C30" s="36"/>
      <c r="D30" s="36"/>
      <c r="E30" s="36"/>
      <c r="F30" s="36"/>
      <c r="G30" s="36"/>
      <c r="H30" s="36"/>
      <c r="I30" s="36"/>
      <c r="J30" s="36"/>
      <c r="K30" s="36"/>
      <c r="L30" s="36"/>
      <c r="M30" s="36"/>
      <c r="N30" s="36"/>
      <c r="O30" s="36"/>
      <c r="P30" s="36"/>
      <c r="Q30" s="36"/>
    </row>
    <row r="31" spans="1:17" x14ac:dyDescent="0.35">
      <c r="A31" s="36"/>
      <c r="B31" s="36"/>
      <c r="C31" s="36"/>
      <c r="D31" s="36"/>
      <c r="E31" s="36"/>
      <c r="F31" s="36"/>
      <c r="G31" s="36"/>
      <c r="H31" s="36"/>
      <c r="I31" s="36"/>
      <c r="J31" s="36"/>
      <c r="K31" s="36"/>
      <c r="L31" s="36"/>
      <c r="M31" s="36"/>
      <c r="N31" s="36"/>
      <c r="O31" s="36"/>
      <c r="P31" s="36"/>
      <c r="Q31" s="36"/>
    </row>
    <row r="32" spans="1:17" x14ac:dyDescent="0.35">
      <c r="A32" s="36"/>
      <c r="B32" s="36"/>
      <c r="C32" s="36"/>
      <c r="D32" s="36"/>
      <c r="E32" s="36"/>
      <c r="F32" s="36"/>
      <c r="G32" s="36"/>
      <c r="H32" s="36"/>
      <c r="I32" s="36"/>
      <c r="J32" s="36"/>
      <c r="K32" s="36"/>
      <c r="L32" s="36"/>
      <c r="M32" s="36"/>
      <c r="N32" s="36"/>
      <c r="O32" s="36"/>
      <c r="P32" s="36"/>
      <c r="Q32" s="36"/>
    </row>
    <row r="33" spans="1:17" x14ac:dyDescent="0.35">
      <c r="A33" s="36"/>
      <c r="B33" s="36"/>
      <c r="C33" s="36"/>
      <c r="D33" s="36"/>
      <c r="E33" s="36"/>
      <c r="F33" s="36"/>
      <c r="G33" s="36"/>
      <c r="H33" s="36"/>
      <c r="I33" s="36"/>
      <c r="J33" s="36"/>
      <c r="K33" s="36"/>
      <c r="L33" s="36"/>
      <c r="M33" s="36"/>
      <c r="N33" s="36"/>
      <c r="O33" s="36"/>
      <c r="P33" s="36"/>
      <c r="Q33" s="36"/>
    </row>
    <row r="34" spans="1:17" x14ac:dyDescent="0.35">
      <c r="A34" s="36"/>
      <c r="B34" s="36"/>
      <c r="C34" s="36"/>
      <c r="D34" s="36"/>
      <c r="E34" s="36"/>
      <c r="F34" s="36"/>
      <c r="G34" s="36"/>
      <c r="H34" s="36"/>
      <c r="I34" s="36"/>
      <c r="J34" s="36"/>
      <c r="K34" s="36"/>
      <c r="L34" s="36"/>
      <c r="M34" s="36"/>
      <c r="N34" s="36"/>
      <c r="O34" s="36"/>
      <c r="P34" s="36"/>
      <c r="Q34" s="36"/>
    </row>
  </sheetData>
  <mergeCells count="5">
    <mergeCell ref="A1:XFD1"/>
    <mergeCell ref="A3:XFD3"/>
    <mergeCell ref="A2:XFD2"/>
    <mergeCell ref="D4:Q10"/>
    <mergeCell ref="A11:Q34"/>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2C732A-E582-421F-8A86-970F04F8F4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product wise sales</vt:lpstr>
      <vt:lpstr>customer wise sales</vt:lpstr>
      <vt:lpstr>region wise sales</vt:lpstr>
      <vt:lpstr>category wise profit margin</vt:lpstr>
      <vt:lpstr>region wise sales,profit</vt:lpstr>
      <vt:lpstr>channel wise profit,sales,order</vt:lpstr>
      <vt:lpstr>count of orders using pivot</vt:lpstr>
      <vt:lpstr>month wise sales and profit</vt:lpstr>
      <vt:lpstr>category wise sales</vt:lpstr>
      <vt:lpstr>channel wise sales</vt:lpstr>
      <vt:lpstr>sum of profit margin%</vt:lpstr>
      <vt:lpstr>Raw_Data</vt:lpstr>
      <vt:lpstr>Customer_Master</vt:lpstr>
      <vt:lpstr>Product_Master</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Chandini Thonduru</cp:lastModifiedBy>
  <dcterms:created xsi:type="dcterms:W3CDTF">2026-09-23T10:38:51Z</dcterms:created>
  <dcterms:modified xsi:type="dcterms:W3CDTF">2026-09-28T06:07:25Z</dcterms:modified>
</cp:coreProperties>
</file>